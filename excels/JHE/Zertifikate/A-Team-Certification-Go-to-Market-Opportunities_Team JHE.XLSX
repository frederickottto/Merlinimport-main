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92.168.1.28\Home\UserDir\heeling.jens\Desktop\"/>
    </mc:Choice>
  </mc:AlternateContent>
  <bookViews>
    <workbookView xWindow="0" yWindow="0" windowWidth="20616" windowHeight="14436"/>
  </bookViews>
  <sheets>
    <sheet name="Start 1.10." sheetId="1" r:id="rId1"/>
    <sheet name="Sheet1" sheetId="3" r:id="rId2"/>
  </sheets>
  <definedNames>
    <definedName name="Geplanter_Projekteinsatz_durch_Manager" localSheetId="1">Sheet1!$A$1:$A$43</definedName>
    <definedName name="Geplanter_Projekteinsatz_durch_Manager">Sheet1!$A$1:$A$43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Q54" i="1" l="1"/>
  <c r="Q53" i="1"/>
  <c r="Q52" i="1"/>
  <c r="Q51" i="1"/>
  <c r="Q50" i="1"/>
  <c r="Q49" i="1"/>
  <c r="Q42" i="1"/>
  <c r="Q41" i="1"/>
  <c r="Q40" i="1"/>
  <c r="Q39" i="1"/>
  <c r="Q38" i="1"/>
  <c r="Q36" i="1"/>
  <c r="Q34" i="1"/>
  <c r="Q33" i="1"/>
  <c r="Q32" i="1"/>
  <c r="Q31" i="1"/>
  <c r="Q30" i="1"/>
  <c r="Q29" i="1"/>
  <c r="Q28" i="1"/>
  <c r="Q13" i="1"/>
  <c r="Q12" i="1"/>
  <c r="Q11" i="1"/>
  <c r="Q10" i="1"/>
  <c r="Q9" i="1"/>
  <c r="Q8" i="1"/>
  <c r="Q4" i="1"/>
  <c r="Q7" i="1"/>
</calcChain>
</file>

<file path=xl/comments1.xml><?xml version="1.0" encoding="utf-8"?>
<comments xmlns="http://schemas.openxmlformats.org/spreadsheetml/2006/main">
  <authors>
    <author>Christoph Hermann</author>
    <author>Alexander Sänn</author>
  </authors>
  <commentList>
    <comment ref="W15" authorId="0" shapeId="0">
      <text>
        <r>
          <rPr>
            <b/>
            <sz val="9"/>
            <color indexed="81"/>
            <rFont val="Segoe UI"/>
            <family val="2"/>
          </rPr>
          <t>Christoph Hermann:</t>
        </r>
        <r>
          <rPr>
            <sz val="9"/>
            <color indexed="81"/>
            <rFont val="Segoe UI"/>
            <family val="2"/>
          </rPr>
          <t xml:space="preserve">
Annahme:
Ist äquivalent zu "geprüfter Sicherheitsbeauftragter"</t>
        </r>
      </text>
    </comment>
    <comment ref="B19" authorId="1" shapeId="0">
      <text>
        <r>
          <rPr>
            <b/>
            <sz val="9"/>
            <color indexed="81"/>
            <rFont val="Tahoma"/>
            <family val="2"/>
          </rPr>
          <t>Alexander Sänn:</t>
        </r>
        <r>
          <rPr>
            <sz val="9"/>
            <color indexed="81"/>
            <rFont val="Tahoma"/>
            <family val="2"/>
          </rPr>
          <t xml:space="preserve">
Mathias Fratz
</t>
        </r>
      </text>
    </comment>
    <comment ref="B36" authorId="1" shapeId="0">
      <text>
        <r>
          <rPr>
            <b/>
            <sz val="9"/>
            <color indexed="81"/>
            <rFont val="Tahoma"/>
            <family val="2"/>
          </rPr>
          <t>Alexander Sänn:</t>
        </r>
        <r>
          <rPr>
            <sz val="9"/>
            <color indexed="81"/>
            <rFont val="Tahoma"/>
            <family val="2"/>
          </rPr>
          <t xml:space="preserve">
Matthias Rebann?</t>
        </r>
      </text>
    </comment>
  </commentList>
</comments>
</file>

<file path=xl/sharedStrings.xml><?xml version="1.0" encoding="utf-8"?>
<sst xmlns="http://schemas.openxmlformats.org/spreadsheetml/2006/main" count="853" uniqueCount="206">
  <si>
    <t>MA</t>
  </si>
  <si>
    <t>Team</t>
  </si>
  <si>
    <t>Entry Date</t>
  </si>
  <si>
    <t>Projektleiter beim Kunden</t>
  </si>
  <si>
    <t>Beauftragungsmöglichkeit EY (KdB, Covid, Unterschwellenvergabe, 3PM, …)</t>
  </si>
  <si>
    <t>Verantwortlich für Ansprache durch EY</t>
  </si>
  <si>
    <t>Patric Rossmann</t>
  </si>
  <si>
    <t>Bogula</t>
  </si>
  <si>
    <t>Patrick Braune</t>
  </si>
  <si>
    <t>Lukas Nowak</t>
  </si>
  <si>
    <t>Christoph Hermann</t>
  </si>
  <si>
    <t>Bost</t>
  </si>
  <si>
    <t>Dmitri Sorokine</t>
  </si>
  <si>
    <t>Faruk Balci</t>
  </si>
  <si>
    <t>Isabel Limbach</t>
  </si>
  <si>
    <t>Karoline Woznicki</t>
  </si>
  <si>
    <t>Michael Schlicht</t>
  </si>
  <si>
    <t>StBA ZENSUS, BMZ Z 2 2 (50%)</t>
  </si>
  <si>
    <t>Christoph Baumann</t>
  </si>
  <si>
    <t>Bost (Projekt)/Heeling (People)</t>
  </si>
  <si>
    <t>Bw</t>
  </si>
  <si>
    <t>Alexander Sänn</t>
  </si>
  <si>
    <t>Brandis</t>
  </si>
  <si>
    <t>Stefan Skokan</t>
  </si>
  <si>
    <t>alle AA Projekte, Wasserschiffahrtsverwaltung (WSV Bund), KRITIS-Audit</t>
  </si>
  <si>
    <t>Stefanie Dzimkowski</t>
  </si>
  <si>
    <t>Thorsten Bost</t>
  </si>
  <si>
    <t>Sven-Joachim Otto?</t>
  </si>
  <si>
    <t>Hendrik Bogula</t>
  </si>
  <si>
    <t>Haufe</t>
  </si>
  <si>
    <t>Deutsche Bahn (50%), Retail P&amp;C (50%)</t>
  </si>
  <si>
    <t>P&amp;C ggf. Folgebeauftragung direkt mit EY 300.000 € /HJ mit 1-3 FTE</t>
  </si>
  <si>
    <t>Braucht Projekt zum 1.10</t>
  </si>
  <si>
    <t>Knut Haufe</t>
  </si>
  <si>
    <t>Deutsche Bahn</t>
  </si>
  <si>
    <t>Bei Ende 2020 alles beaquftragt. Ab Januar A-Team Engagement möglich über EY RV mit Bahn. Rund die Hälfte der Mitarbeiter bei der DB sind von PwC CSS und kommen nicht mit zu uns. RV mit PwC läuft bis Ende Dezember, Anschließend Verlängerung möglich, ggf. wird neu ausgeschrieben, vier-fünf Mitarbieter von Srdan sind zur Bahn gewechelt und es besteht gute Relation</t>
  </si>
  <si>
    <t>Frank Fischer, CISO DB, Ex-ACN Neigung zu ACN (Vorgänger Dr. Kurz: bessere Relation)</t>
  </si>
  <si>
    <t>Martin Oppelt</t>
  </si>
  <si>
    <t>Matthias Fratz</t>
  </si>
  <si>
    <t>Swen Wagenknecht</t>
  </si>
  <si>
    <t>DB großes Projekt</t>
  </si>
  <si>
    <t>Frank Ürmler</t>
  </si>
  <si>
    <t>?? 10/1/2020</t>
  </si>
  <si>
    <t>Henning Walravens</t>
  </si>
  <si>
    <t>Heeling</t>
  </si>
  <si>
    <t>Bw, reservisten Verband</t>
  </si>
  <si>
    <t>Jens Heeling</t>
  </si>
  <si>
    <t xml:space="preserve">UAL Z2 Herr van Bebber, wurde bereits durch Knud informiert, ist bereit mit uns zu arbeiten PL: Herr Oebbeke; </t>
  </si>
  <si>
    <t>Gesprächswunsch, Sven Otto, Bw</t>
  </si>
  <si>
    <t>Kai Thiemrodt</t>
  </si>
  <si>
    <t xml:space="preserve">Bw </t>
  </si>
  <si>
    <t>Nicolas Dechant</t>
  </si>
  <si>
    <t>Oliver Kroening</t>
  </si>
  <si>
    <t>Andreas Kalender</t>
  </si>
  <si>
    <t>Kalender</t>
  </si>
  <si>
    <t>IT-SiKo für das Fachverfahren aus AG-Sicht</t>
  </si>
  <si>
    <t>Liam Schnell</t>
  </si>
  <si>
    <t>Sandra Hillerkus</t>
  </si>
  <si>
    <t>Timo Sigwarth</t>
  </si>
  <si>
    <t>Marc Ragg</t>
  </si>
  <si>
    <t>Ragg</t>
  </si>
  <si>
    <t>Lukas Nowak, PL: Frau Rafaela Iestermann</t>
  </si>
  <si>
    <t>Nicole Sosnowski</t>
  </si>
  <si>
    <t>Eike Seidler, not amused, weiss noch nich ob es mit uns (EY) weiter gehen soll, Ex-PwC-Mitarbeiter</t>
  </si>
  <si>
    <t>Marc Ragg spricht noch mal mit dem PL</t>
  </si>
  <si>
    <t>Tobias Jarraß</t>
  </si>
  <si>
    <t>Jannis Rodenkirchen</t>
  </si>
  <si>
    <t>01.10.2020</t>
  </si>
  <si>
    <t>Tara Wieser</t>
  </si>
  <si>
    <t>Matthias Rebmann</t>
  </si>
  <si>
    <t xml:space="preserve">pending </t>
  </si>
  <si>
    <t>Emanuel Teske</t>
  </si>
  <si>
    <t>IT-Notfall Management</t>
  </si>
  <si>
    <t>Julius Toyka</t>
  </si>
  <si>
    <t>Skokan</t>
  </si>
  <si>
    <t>AA SiKo Win10/DiploClient, PL, AA Erstüchtigung ISM, Wasserschiffahrtsverwaltung (WSV Bund), KRITIS-Audi</t>
  </si>
  <si>
    <t>Michael Bernhardt</t>
  </si>
  <si>
    <t>AA VS IT, PL, Wasserschifffahrtsneubauamt Magdeburg</t>
  </si>
  <si>
    <t>Pascal Blüher</t>
  </si>
  <si>
    <t>Alexander Sternberg</t>
  </si>
  <si>
    <t>Sternberg</t>
  </si>
  <si>
    <t>BFARM: DIMDI, AA SOP für SOC AA</t>
  </si>
  <si>
    <t>Roman Vollmer</t>
  </si>
  <si>
    <t>Autobhanvorläuferorganisation</t>
  </si>
  <si>
    <t>Benjamin Teudeloff</t>
  </si>
  <si>
    <t>Teudeloff</t>
  </si>
  <si>
    <t>BKA</t>
  </si>
  <si>
    <t>Eglant Elezaj</t>
  </si>
  <si>
    <t>Chris Müller</t>
  </si>
  <si>
    <t>Teudeloff, kommt zu Ragg</t>
  </si>
  <si>
    <t>RV BaWü</t>
  </si>
  <si>
    <t>André Reichow-Prehn</t>
  </si>
  <si>
    <t>Michael Nowak</t>
  </si>
  <si>
    <t>ID</t>
  </si>
  <si>
    <t>Projektname</t>
  </si>
  <si>
    <t>Anna-Theresa Mehl</t>
  </si>
  <si>
    <t>Michael Poppke</t>
  </si>
  <si>
    <t>Vollzeit mit "IT-Bezug" seit</t>
  </si>
  <si>
    <t>Vollzeit mit "IS-Bezug seit"</t>
  </si>
  <si>
    <t>Auditteamleiter (CERT)</t>
  </si>
  <si>
    <t>Auditteamleiter (BSI)</t>
  </si>
  <si>
    <t>IIT_Grundschutz-Berater</t>
  </si>
  <si>
    <t>IS-Revisor</t>
  </si>
  <si>
    <t>§ 8a Prüfer (KRITIS)</t>
  </si>
  <si>
    <t>IT-Grundschutz-Praktiker</t>
  </si>
  <si>
    <t>CISA</t>
  </si>
  <si>
    <t>CISM</t>
  </si>
  <si>
    <t>CISSP</t>
  </si>
  <si>
    <t>PRINCE2 / PMP</t>
  </si>
  <si>
    <t>ITIL</t>
  </si>
  <si>
    <t>COBIT</t>
  </si>
  <si>
    <t>DSB</t>
  </si>
  <si>
    <t>geprüfter ISO 27001 Auditor</t>
  </si>
  <si>
    <t>x</t>
  </si>
  <si>
    <t>beantr in 06/2020</t>
  </si>
  <si>
    <t>X</t>
  </si>
  <si>
    <t>-</t>
  </si>
  <si>
    <t>(x)</t>
  </si>
  <si>
    <t>Josef De-Tian The</t>
  </si>
  <si>
    <t>Christopher Schneider</t>
  </si>
  <si>
    <t>Sebastian Kipp</t>
  </si>
  <si>
    <t>???</t>
  </si>
  <si>
    <t>Stefan Höfer</t>
  </si>
  <si>
    <t>Ben Becks</t>
  </si>
  <si>
    <t>Lukas Dresselhaus</t>
  </si>
  <si>
    <t>SSK</t>
  </si>
  <si>
    <t>Anonymes Profil vorliegend</t>
  </si>
  <si>
    <t>SÜG(2) vorhanden</t>
  </si>
  <si>
    <t>- (Bedingungen werden im August erfüllt)</t>
  </si>
  <si>
    <t>Gabriel Heb</t>
  </si>
  <si>
    <t>- (Bedingungen werden im Juli erfüllt)</t>
  </si>
  <si>
    <t>Gunnar Freimuth</t>
  </si>
  <si>
    <t>dummy heute</t>
  </si>
  <si>
    <t>Relevante Erfahrung in Monaten in IT zum 01.10.2020</t>
  </si>
  <si>
    <t>geprüfter Informationssicherheitsbeauftragter</t>
  </si>
  <si>
    <t>(Scrum)</t>
  </si>
  <si>
    <t>Simon Jacobs</t>
  </si>
  <si>
    <t>Zensus</t>
  </si>
  <si>
    <t>ProITK</t>
  </si>
  <si>
    <t>ITZBund</t>
  </si>
  <si>
    <t>DIMI</t>
  </si>
  <si>
    <t>BFARM</t>
  </si>
  <si>
    <t>Sicherheitskonzepte</t>
  </si>
  <si>
    <t>StBA ZENSUS</t>
  </si>
  <si>
    <t>PLIS</t>
  </si>
  <si>
    <t>DB Netze</t>
  </si>
  <si>
    <t>DB Netze, Sicherheitskonzeption für die Bahn, betriebliche IP-Plattform; noch kein Projekt vorgesehen. Ziel ist es ein KRITIS konformes IT-Sicherheitskonzept zu schreiben. 6 Leute auf dem Projekt, 2 gehen zu EY, vier bleiben. Wichtiges Projekt, Upselling Potenzial</t>
  </si>
  <si>
    <t>BMZ</t>
  </si>
  <si>
    <t>AA</t>
  </si>
  <si>
    <t>BFARM/AA</t>
  </si>
  <si>
    <t>Tim Oppold</t>
  </si>
  <si>
    <t>Frank Irmler</t>
  </si>
  <si>
    <t>Dennis Gebhardt</t>
  </si>
  <si>
    <t>Andre Jaworski</t>
  </si>
  <si>
    <t>BKA / ThEAG</t>
  </si>
  <si>
    <t>Hr. Gneider, Hr. Dahm, Hr. Ritter</t>
  </si>
  <si>
    <t>Kunde bereits informiert?</t>
  </si>
  <si>
    <t>Seitens EY angenommener Projekteinsatz ab 01.10.2020</t>
  </si>
  <si>
    <t>Geplanter Projekteinsatz durch Manager</t>
  </si>
  <si>
    <t>Deutsche Rente Bund</t>
  </si>
  <si>
    <t>Maritimes Sicherheitszentrum (MSZ)</t>
  </si>
  <si>
    <t>Sozialversicherung für Forsten, Landwirtschaft und Gartenbau</t>
  </si>
  <si>
    <t>Statistisches Bundesamt (DESTATIS)</t>
  </si>
  <si>
    <t>FEV Europe GmbH</t>
  </si>
  <si>
    <t>BSI</t>
  </si>
  <si>
    <t>Bundeskartellamt</t>
  </si>
  <si>
    <t>BZgA</t>
  </si>
  <si>
    <t>DB</t>
  </si>
  <si>
    <t>Auswärtiges Amt (AA)</t>
  </si>
  <si>
    <t>Bundesanstalt für Post und Telekommunikation Deutsche Bundespost (BAnst PT)</t>
  </si>
  <si>
    <t>Bundesinstitut für Arzneimittel und Medizinprodukte (BfArM)</t>
  </si>
  <si>
    <t>Landesstelle für Straßentechnik BW</t>
  </si>
  <si>
    <t>Bundesarchiv</t>
  </si>
  <si>
    <t>Bundeskriminalamt (BKA)</t>
  </si>
  <si>
    <t>Bundespolizeipräsidium (BPol)</t>
  </si>
  <si>
    <t>Landespolizei Brandenburg</t>
  </si>
  <si>
    <t>Thüringer Energie AG</t>
  </si>
  <si>
    <t>Vulkan Energiewirtschaft Oderbrücke (VEO)</t>
  </si>
  <si>
    <t>Destatis</t>
  </si>
  <si>
    <t>BITBW</t>
  </si>
  <si>
    <t>BVL</t>
  </si>
  <si>
    <t>Peek &amp; Cloppenburg</t>
  </si>
  <si>
    <t>Robert Koch Institut</t>
  </si>
  <si>
    <t>DB Netz AG</t>
  </si>
  <si>
    <t>EnBW AG</t>
  </si>
  <si>
    <t>Bundesministerium für wirtschaftliche Zusammenarbeit und Entwicklung (BMZ)</t>
  </si>
  <si>
    <t>Freistaat Sachsen - Vertreten durch das Polizeiverwaltungsamt (PVA)</t>
  </si>
  <si>
    <t>IM BW</t>
  </si>
  <si>
    <t>BImA</t>
  </si>
  <si>
    <t>BSH</t>
  </si>
  <si>
    <t>DB S&amp;S</t>
  </si>
  <si>
    <t>FMBW</t>
  </si>
  <si>
    <t>Innenministerium BaWü</t>
  </si>
  <si>
    <t>JuM</t>
  </si>
  <si>
    <t>KMBW</t>
  </si>
  <si>
    <t>PTLS</t>
  </si>
  <si>
    <t>SMBW</t>
  </si>
  <si>
    <t>UMBW</t>
  </si>
  <si>
    <t>WSNA Magdeburg</t>
  </si>
  <si>
    <t>WSV Bund</t>
  </si>
  <si>
    <t xml:space="preserve">Bundesamt für soziale Absicherung </t>
  </si>
  <si>
    <t>Projekt: Heeling People: Teudelhoff</t>
  </si>
  <si>
    <t>Prüfung am 27.10.2020</t>
  </si>
  <si>
    <t>Feb 2014 - Sep 2015; Jun 2017 - heute</t>
  </si>
  <si>
    <t xml:space="preserve">wechselt voraussichtlich nicht zu EY </t>
  </si>
  <si>
    <t>Okt 2012 - Jun 2014; Okt 2017 - Mai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</si>
</sst>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0.00\ &quot;€&quot;_-;\-* #,##0.00\ &quot;€&quot;_-;_-* &quot;-&quot;??\ &quot;€&quot;_-;_-@_-"/>
    <numFmt numFmtId="164" formatCode="[$-407]mmm/\ yy;@"/>
  </numFmts>
  <fonts count="18"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0"/>
      <color theme="1"/>
      <name val="Arial"/>
      <family val="2"/>
    </font>
    <font>
      <b/>
      <sz val="10"/>
      <color theme="1"/>
      <name val="Arial"/>
      <family val="2"/>
    </font>
    <font>
      <sz val="10"/>
      <color theme="0"/>
      <name val="Arial"/>
      <family val="2"/>
    </font>
    <font>
      <b/>
      <sz val="10"/>
      <color rgb="FFDC6900"/>
      <name val="Calibri"/>
      <family val="2"/>
      <scheme val="minor"/>
    </font>
    <font>
      <sz val="9"/>
      <color indexed="81"/>
      <name val="Segoe UI"/>
      <family val="2"/>
    </font>
    <font>
      <b/>
      <sz val="9"/>
      <color indexed="81"/>
      <name val="Segoe UI"/>
      <family val="2"/>
    </font>
    <font>
      <sz val="11"/>
      <color rgb="FF9C6500"/>
      <name val="Calibri"/>
      <family val="2"/>
      <scheme val="minor"/>
    </font>
    <font>
      <sz val="9"/>
      <color indexed="81"/>
      <name val="Tahoma"/>
      <family val="2"/>
    </font>
    <font>
      <b/>
      <sz val="9"/>
      <color indexed="81"/>
      <name val="Tahoma"/>
      <family val="2"/>
    </font>
    <font>
      <sz val="11"/>
      <color rgb="FFC00000"/>
      <name val="Calibri"/>
      <family val="2"/>
      <scheme val="minor"/>
    </font>
  </fonts>
  <fills count="9">
    <fill>
      <patternFill patternType="none"/>
    </fill>
    <fill>
      <patternFill patternType="gray125"/>
    </fill>
    <fill>
      <patternFill patternType="solid">
        <fgColor rgb="FFFFC7CE"/>
      </patternFill>
    </fill>
    <fill>
      <patternFill patternType="solid">
        <fgColor rgb="FFFFEB9C"/>
      </patternFill>
    </fill>
    <fill>
      <patternFill patternType="solid">
        <fgColor rgb="FFF2F2F2"/>
      </patternFill>
    </fill>
    <fill>
      <patternFill patternType="solid">
        <fgColor theme="4"/>
      </patternFill>
    </fill>
    <fill>
      <patternFill patternType="solid">
        <fgColor rgb="FF92D050"/>
        <bgColor indexed="64"/>
      </patternFill>
    </fill>
    <fill>
      <patternFill patternType="solid">
        <fgColor rgb="FFC000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rgb="FFA32020"/>
      </top>
      <bottom style="double">
        <color rgb="FFA32020"/>
      </bottom>
      <diagonal/>
    </border>
    <border>
      <left style="thin">
        <color rgb="FFDC6900"/>
      </left>
      <right style="thin">
        <color rgb="FFDC6900"/>
      </right>
      <top style="thin">
        <color rgb="FFDC6900"/>
      </top>
      <bottom style="thin">
        <color rgb="FFDC6900"/>
      </bottom>
      <diagonal/>
    </border>
    <border>
      <left/>
      <right/>
      <top/>
      <bottom style="thick">
        <color theme="3"/>
      </bottom>
      <diagonal/>
    </border>
    <border>
      <left/>
      <right/>
      <top/>
      <bottom style="medium">
        <color theme="4"/>
      </bottom>
      <diagonal/>
    </border>
  </borders>
  <cellStyleXfs count="11">
    <xf numFmtId="0" fontId="0" fillId="0" borderId="0"/>
    <xf numFmtId="44" fontId="1" fillId="0" borderId="0" applyFont="0" applyFill="0" applyBorder="0" applyAlignment="0" applyProtection="0"/>
    <xf numFmtId="0" fontId="2" fillId="0" borderId="0"/>
    <xf numFmtId="0" fontId="7" fillId="2" borderId="0" applyNumberFormat="0" applyBorder="0" applyAlignment="0" applyProtection="0"/>
    <xf numFmtId="0" fontId="8" fillId="0" borderId="0"/>
    <xf numFmtId="0" fontId="5" fillId="0" borderId="4" applyNumberFormat="0" applyFill="0" applyAlignment="0" applyProtection="0"/>
    <xf numFmtId="0" fontId="6" fillId="0" borderId="5" applyNumberFormat="0" applyFill="0" applyAlignment="0" applyProtection="0"/>
    <xf numFmtId="0" fontId="11" fillId="4" borderId="3" applyNumberFormat="0" applyAlignment="0" applyProtection="0"/>
    <xf numFmtId="0" fontId="9" fillId="0" borderId="2" applyNumberFormat="0" applyFill="0" applyAlignment="0" applyProtection="0"/>
    <xf numFmtId="0" fontId="10" fillId="5" borderId="0" applyNumberFormat="0" applyBorder="0" applyAlignment="0" applyProtection="0"/>
    <xf numFmtId="0" fontId="14" fillId="3" borderId="0" applyNumberFormat="0" applyBorder="0" applyAlignment="0" applyProtection="0"/>
  </cellStyleXfs>
  <cellXfs count="47">
    <xf numFmtId="0" fontId="0" fillId="0" borderId="0" xfId="0"/>
    <xf numFmtId="0" fontId="0" fillId="0" borderId="1" xfId="0" applyBorder="1"/>
    <xf numFmtId="0" fontId="3" fillId="0" borderId="1" xfId="2" applyFont="1" applyFill="1" applyBorder="1" applyAlignment="1">
      <alignment horizontal="center" vertical="center" wrapText="1"/>
    </xf>
    <xf numFmtId="14" fontId="3" fillId="0" borderId="1" xfId="2" applyNumberFormat="1" applyFont="1" applyFill="1" applyBorder="1" applyAlignment="1">
      <alignment horizontal="center" vertical="center" wrapText="1"/>
    </xf>
    <xf numFmtId="0" fontId="4" fillId="0" borderId="1" xfId="10" quotePrefix="1" applyFont="1" applyFill="1" applyBorder="1" applyAlignment="1">
      <alignment horizontal="center" vertical="top" wrapText="1"/>
    </xf>
    <xf numFmtId="0" fontId="3" fillId="0" borderId="0" xfId="2" applyFont="1" applyFill="1" applyBorder="1" applyAlignment="1">
      <alignment horizontal="center" vertical="center" wrapText="1"/>
    </xf>
    <xf numFmtId="0" fontId="4" fillId="0" borderId="1" xfId="0" applyFont="1" applyFill="1" applyBorder="1" applyAlignment="1">
      <alignment horizontal="center" wrapText="1"/>
    </xf>
    <xf numFmtId="0" fontId="4" fillId="0" borderId="0" xfId="0" applyFont="1" applyFill="1" applyBorder="1" applyAlignment="1">
      <alignment horizontal="center" wrapText="1"/>
    </xf>
    <xf numFmtId="0" fontId="4" fillId="0" borderId="1" xfId="0" applyFont="1" applyFill="1" applyBorder="1" applyAlignment="1">
      <alignment horizontal="center" vertical="top" wrapText="1"/>
    </xf>
    <xf numFmtId="14" fontId="4" fillId="0" borderId="1" xfId="0" applyNumberFormat="1" applyFont="1" applyFill="1" applyBorder="1" applyAlignment="1">
      <alignment horizontal="center" vertical="top" wrapText="1"/>
    </xf>
    <xf numFmtId="44" fontId="4" fillId="0" borderId="1" xfId="1" applyFont="1" applyFill="1" applyBorder="1" applyAlignment="1">
      <alignment horizontal="center" vertical="top" wrapText="1"/>
    </xf>
    <xf numFmtId="164" fontId="4" fillId="0" borderId="1" xfId="0" applyNumberFormat="1" applyFont="1" applyFill="1" applyBorder="1" applyAlignment="1">
      <alignment horizontal="center" wrapText="1"/>
    </xf>
    <xf numFmtId="164" fontId="2" fillId="0" borderId="1" xfId="4" applyNumberFormat="1" applyFont="1" applyFill="1" applyBorder="1" applyAlignment="1">
      <alignment horizontal="center" vertical="top" wrapText="1"/>
    </xf>
    <xf numFmtId="1" fontId="2" fillId="0" borderId="1" xfId="4" applyNumberFormat="1" applyFont="1" applyFill="1" applyBorder="1" applyAlignment="1">
      <alignment horizontal="center" vertical="top" wrapText="1"/>
    </xf>
    <xf numFmtId="0" fontId="4" fillId="0" borderId="1" xfId="3" applyFont="1" applyFill="1" applyBorder="1" applyAlignment="1">
      <alignment horizontal="center" vertical="top" wrapText="1"/>
    </xf>
    <xf numFmtId="0" fontId="2" fillId="0" borderId="1" xfId="4" applyFont="1" applyFill="1" applyBorder="1" applyAlignment="1">
      <alignment horizontal="center" vertical="top" wrapText="1"/>
    </xf>
    <xf numFmtId="14" fontId="2" fillId="0" borderId="1" xfId="4" applyNumberFormat="1" applyFont="1" applyFill="1" applyBorder="1" applyAlignment="1">
      <alignment horizontal="center" vertical="top" wrapText="1"/>
    </xf>
    <xf numFmtId="14" fontId="4" fillId="0" borderId="1" xfId="3" applyNumberFormat="1" applyFont="1" applyFill="1" applyBorder="1" applyAlignment="1">
      <alignment horizontal="center" vertical="top" wrapText="1"/>
    </xf>
    <xf numFmtId="164" fontId="4" fillId="0" borderId="1" xfId="3" applyNumberFormat="1" applyFont="1" applyFill="1" applyBorder="1" applyAlignment="1">
      <alignment horizontal="center" vertical="top" wrapText="1"/>
    </xf>
    <xf numFmtId="164" fontId="4" fillId="0" borderId="1" xfId="0" applyNumberFormat="1" applyFont="1" applyFill="1" applyBorder="1" applyAlignment="1">
      <alignment horizontal="center" vertical="top" wrapText="1"/>
    </xf>
    <xf numFmtId="44" fontId="4" fillId="0" borderId="1" xfId="0" applyNumberFormat="1" applyFont="1" applyFill="1" applyBorder="1" applyAlignment="1">
      <alignment horizontal="center" wrapText="1"/>
    </xf>
    <xf numFmtId="44" fontId="4" fillId="0" borderId="1" xfId="0" applyNumberFormat="1" applyFont="1" applyFill="1" applyBorder="1" applyAlignment="1">
      <alignment horizontal="center" vertical="top" wrapText="1"/>
    </xf>
    <xf numFmtId="14" fontId="4" fillId="0" borderId="1" xfId="0" applyNumberFormat="1" applyFont="1" applyFill="1" applyBorder="1" applyAlignment="1">
      <alignment horizontal="center" wrapText="1"/>
    </xf>
    <xf numFmtId="14" fontId="4" fillId="0" borderId="1" xfId="10" applyNumberFormat="1" applyFont="1" applyFill="1" applyBorder="1" applyAlignment="1">
      <alignment horizontal="center" vertical="top" wrapText="1"/>
    </xf>
    <xf numFmtId="0" fontId="4" fillId="0" borderId="1" xfId="0" quotePrefix="1" applyFont="1" applyFill="1" applyBorder="1" applyAlignment="1">
      <alignment horizontal="center" wrapText="1"/>
    </xf>
    <xf numFmtId="14" fontId="4" fillId="0" borderId="1" xfId="3" quotePrefix="1" applyNumberFormat="1" applyFont="1" applyFill="1" applyBorder="1" applyAlignment="1">
      <alignment horizontal="center" wrapText="1"/>
    </xf>
    <xf numFmtId="0" fontId="4" fillId="0" borderId="1" xfId="3" applyFont="1" applyFill="1" applyBorder="1" applyAlignment="1">
      <alignment horizontal="center" wrapText="1"/>
    </xf>
    <xf numFmtId="14" fontId="4" fillId="0" borderId="1" xfId="0" quotePrefix="1" applyNumberFormat="1" applyFont="1" applyFill="1" applyBorder="1" applyAlignment="1">
      <alignment horizontal="center" wrapText="1"/>
    </xf>
    <xf numFmtId="0" fontId="4" fillId="0" borderId="1" xfId="3" quotePrefix="1" applyFont="1" applyFill="1" applyBorder="1" applyAlignment="1">
      <alignment horizontal="center" wrapText="1"/>
    </xf>
    <xf numFmtId="14" fontId="4" fillId="0" borderId="0" xfId="0" applyNumberFormat="1" applyFont="1" applyFill="1" applyBorder="1" applyAlignment="1">
      <alignment horizontal="center" wrapText="1"/>
    </xf>
    <xf numFmtId="0" fontId="4" fillId="6" borderId="1" xfId="0" applyFont="1" applyFill="1" applyBorder="1" applyAlignment="1">
      <alignment horizontal="center" wrapText="1"/>
    </xf>
    <xf numFmtId="0" fontId="4" fillId="6" borderId="1" xfId="0" applyFont="1" applyFill="1" applyBorder="1" applyAlignment="1">
      <alignment horizontal="center" vertical="top" wrapText="1"/>
    </xf>
    <xf numFmtId="14" fontId="4" fillId="6" borderId="1" xfId="0" applyNumberFormat="1" applyFont="1" applyFill="1" applyBorder="1" applyAlignment="1">
      <alignment horizontal="center" vertical="top" wrapText="1"/>
    </xf>
    <xf numFmtId="44" fontId="4" fillId="6" borderId="1" xfId="1" applyFont="1" applyFill="1" applyBorder="1" applyAlignment="1">
      <alignment horizontal="center" vertical="top" wrapText="1"/>
    </xf>
    <xf numFmtId="164" fontId="4" fillId="6" borderId="1" xfId="0" applyNumberFormat="1" applyFont="1" applyFill="1" applyBorder="1" applyAlignment="1">
      <alignment horizontal="center" vertical="top" wrapText="1"/>
    </xf>
    <xf numFmtId="164" fontId="2" fillId="6" borderId="1" xfId="4" applyNumberFormat="1" applyFont="1" applyFill="1" applyBorder="1" applyAlignment="1">
      <alignment horizontal="center" vertical="top" wrapText="1"/>
    </xf>
    <xf numFmtId="1" fontId="2" fillId="6" borderId="1" xfId="4" applyNumberFormat="1" applyFont="1" applyFill="1" applyBorder="1" applyAlignment="1">
      <alignment horizontal="center" vertical="top" wrapText="1"/>
    </xf>
    <xf numFmtId="14" fontId="4" fillId="6" borderId="1" xfId="3" applyNumberFormat="1" applyFont="1" applyFill="1" applyBorder="1" applyAlignment="1">
      <alignment horizontal="center" vertical="top" wrapText="1"/>
    </xf>
    <xf numFmtId="0" fontId="4" fillId="6" borderId="0" xfId="0" applyFont="1" applyFill="1" applyBorder="1" applyAlignment="1">
      <alignment horizontal="center" wrapText="1"/>
    </xf>
    <xf numFmtId="164" fontId="4" fillId="6" borderId="1" xfId="0" applyNumberFormat="1" applyFont="1" applyFill="1" applyBorder="1" applyAlignment="1">
      <alignment horizontal="center" wrapText="1"/>
    </xf>
    <xf numFmtId="0" fontId="4" fillId="7" borderId="1" xfId="0" applyFont="1" applyFill="1" applyBorder="1" applyAlignment="1">
      <alignment horizontal="center" wrapText="1"/>
    </xf>
    <xf numFmtId="14" fontId="4" fillId="7" borderId="1" xfId="0" applyNumberFormat="1" applyFont="1" applyFill="1" applyBorder="1" applyAlignment="1">
      <alignment horizontal="center" vertical="top" wrapText="1"/>
    </xf>
    <xf numFmtId="164" fontId="4" fillId="7" borderId="1" xfId="0" applyNumberFormat="1" applyFont="1" applyFill="1" applyBorder="1" applyAlignment="1">
      <alignment horizontal="center" wrapText="1"/>
    </xf>
    <xf numFmtId="164" fontId="2" fillId="7" borderId="1" xfId="4" applyNumberFormat="1" applyFont="1" applyFill="1" applyBorder="1" applyAlignment="1">
      <alignment horizontal="center" vertical="top" wrapText="1"/>
    </xf>
    <xf numFmtId="1" fontId="2" fillId="7" borderId="1" xfId="4" applyNumberFormat="1" applyFont="1" applyFill="1" applyBorder="1" applyAlignment="1">
      <alignment horizontal="center" vertical="top" wrapText="1"/>
    </xf>
    <xf numFmtId="0" fontId="4" fillId="7" borderId="0" xfId="0" applyFont="1" applyFill="1" applyBorder="1" applyAlignment="1">
      <alignment horizontal="center" wrapText="1"/>
    </xf>
    <xf numFmtId="0" fontId="17" fillId="8" borderId="1" xfId="0" applyFont="1" applyFill="1" applyBorder="1" applyAlignment="1">
      <alignment horizontal="center" wrapText="1"/>
    </xf>
  </cellXfs>
  <cellStyles count="11">
    <cellStyle name="Accent1 2" xfId="9"/>
    <cellStyle name="Calculation 2" xfId="7"/>
    <cellStyle name="Heading 2 2" xfId="5"/>
    <cellStyle name="Heading 3 2" xfId="6"/>
    <cellStyle name="Neutral 2" xfId="10"/>
    <cellStyle name="Normal 2" xfId="4"/>
    <cellStyle name="Normal 6" xfId="2"/>
    <cellStyle name="Schlecht" xfId="3" builtinId="27"/>
    <cellStyle name="Standard" xfId="0" builtinId="0"/>
    <cellStyle name="Total 2" xfId="8"/>
    <cellStyle name="Währung" xfId="1" builtinId="4"/>
  </cellStyles>
  <dxfs count="10">
    <dxf>
      <fill>
        <patternFill patternType="solid">
          <fgColor rgb="FFF2F2F2"/>
          <bgColor rgb="FFEDD2D2"/>
        </patternFill>
      </fill>
    </dxf>
    <dxf>
      <fill>
        <patternFill patternType="solid">
          <fgColor rgb="FFF2F2F2"/>
          <bgColor rgb="FFE6E6E6"/>
        </patternFill>
      </fill>
    </dxf>
    <dxf>
      <font>
        <color rgb="FFA32020"/>
      </font>
    </dxf>
    <dxf>
      <font>
        <color rgb="FFA32020"/>
      </font>
    </dxf>
    <dxf>
      <font>
        <color rgb="FFA32020"/>
      </font>
      <border>
        <top style="thin">
          <color rgb="FFA32020"/>
        </top>
      </border>
    </dxf>
    <dxf>
      <font>
        <b/>
        <i val="0"/>
        <color rgb="FFA32020"/>
      </font>
      <border>
        <bottom style="thin">
          <color rgb="FFA32020"/>
        </bottom>
      </border>
    </dxf>
    <dxf>
      <font>
        <color auto="1"/>
      </font>
      <border>
        <top style="thin">
          <color rgb="FFA32020"/>
        </top>
        <bottom style="thin">
          <color rgb="FFA32020"/>
        </bottom>
      </border>
    </dxf>
    <dxf>
      <fill>
        <patternFill>
          <bgColor rgb="FFE6E6E6"/>
        </patternFill>
      </fill>
    </dxf>
    <dxf>
      <font>
        <color rgb="FFA32020"/>
      </font>
      <border>
        <left style="thin">
          <color theme="1"/>
        </left>
        <right style="thin">
          <color theme="1"/>
        </right>
        <top style="thin">
          <color theme="1"/>
        </top>
        <bottom style="thin">
          <color theme="1"/>
        </bottom>
        <vertical style="thin">
          <color theme="1"/>
        </vertical>
        <horizontal style="thin">
          <color theme="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CSS" pivot="0" count="3">
      <tableStyleElement type="wholeTable" dxfId="9"/>
      <tableStyleElement type="headerRow" dxfId="8"/>
      <tableStyleElement type="firstRowStripe" dxfId="7"/>
    </tableStyle>
    <tableStyle name="CSS-Tabelle"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95"/>
  <sheetViews>
    <sheetView tabSelected="1" zoomScale="85" zoomScaleNormal="85" workbookViewId="0">
      <selection activeCell="V26" sqref="V26"/>
    </sheetView>
  </sheetViews>
  <sheetFormatPr baseColWidth="10" defaultColWidth="8.88671875" defaultRowHeight="14.4" x14ac:dyDescent="0.3"/>
  <cols>
    <col min="1" max="1" width="8.88671875" style="7"/>
    <col min="2" max="2" width="25.109375" style="7" customWidth="1"/>
    <col min="3" max="3" width="16.5546875" style="7" customWidth="1"/>
    <col min="4" max="4" width="15" style="29" customWidth="1"/>
    <col min="5" max="5" width="28.33203125" style="7" customWidth="1"/>
    <col min="6" max="6" width="22.21875" style="7" customWidth="1"/>
    <col min="7" max="8" width="29.44140625" style="7" customWidth="1"/>
    <col min="9" max="9" width="68.33203125" style="7" customWidth="1"/>
    <col min="10" max="10" width="27.44140625" style="7" customWidth="1"/>
    <col min="11" max="11" width="27.44140625" style="7" hidden="1" customWidth="1"/>
    <col min="12" max="12" width="30.88671875" style="7" hidden="1" customWidth="1"/>
    <col min="13" max="13" width="30.109375" style="7" hidden="1" customWidth="1"/>
    <col min="14" max="14" width="15.5546875" style="7" customWidth="1"/>
    <col min="15" max="15" width="21.109375" style="7" customWidth="1"/>
    <col min="16" max="16" width="21.109375" style="7" hidden="1" customWidth="1"/>
    <col min="17" max="17" width="21.109375" style="7" customWidth="1"/>
    <col min="18" max="22" width="8.88671875" style="7"/>
    <col min="23" max="23" width="22.77734375" style="7" customWidth="1"/>
    <col min="24" max="16384" width="8.88671875" style="7"/>
  </cols>
  <sheetData>
    <row r="1" spans="1:33" ht="86.4" customHeight="1" x14ac:dyDescent="0.3">
      <c r="A1" s="6" t="s">
        <v>93</v>
      </c>
      <c r="B1" s="2" t="s">
        <v>0</v>
      </c>
      <c r="C1" s="2" t="s">
        <v>1</v>
      </c>
      <c r="D1" s="3" t="s">
        <v>2</v>
      </c>
      <c r="E1" s="2" t="s">
        <v>126</v>
      </c>
      <c r="F1" s="2" t="s">
        <v>127</v>
      </c>
      <c r="G1" s="2" t="s">
        <v>157</v>
      </c>
      <c r="H1" s="2" t="s">
        <v>158</v>
      </c>
      <c r="I1" s="2" t="s">
        <v>94</v>
      </c>
      <c r="J1" s="2" t="s">
        <v>3</v>
      </c>
      <c r="K1" s="2" t="s">
        <v>156</v>
      </c>
      <c r="L1" s="2" t="s">
        <v>4</v>
      </c>
      <c r="M1" s="2" t="s">
        <v>5</v>
      </c>
      <c r="N1" s="2" t="s">
        <v>97</v>
      </c>
      <c r="O1" s="2" t="s">
        <v>98</v>
      </c>
      <c r="P1" s="2" t="s">
        <v>132</v>
      </c>
      <c r="Q1" s="2" t="s">
        <v>133</v>
      </c>
      <c r="R1" s="2" t="s">
        <v>99</v>
      </c>
      <c r="S1" s="2" t="s">
        <v>100</v>
      </c>
      <c r="T1" s="2" t="s">
        <v>101</v>
      </c>
      <c r="U1" s="2" t="s">
        <v>102</v>
      </c>
      <c r="V1" s="2" t="s">
        <v>103</v>
      </c>
      <c r="W1" s="2" t="s">
        <v>104</v>
      </c>
      <c r="X1" s="2" t="s">
        <v>105</v>
      </c>
      <c r="Y1" s="2" t="s">
        <v>106</v>
      </c>
      <c r="Z1" s="2" t="s">
        <v>107</v>
      </c>
      <c r="AA1" s="2" t="s">
        <v>108</v>
      </c>
      <c r="AB1" s="2" t="s">
        <v>109</v>
      </c>
      <c r="AC1" s="2" t="s">
        <v>110</v>
      </c>
      <c r="AD1" s="2" t="s">
        <v>111</v>
      </c>
      <c r="AE1" s="2" t="s">
        <v>112</v>
      </c>
      <c r="AF1" s="2" t="s">
        <v>134</v>
      </c>
      <c r="AG1" s="5"/>
    </row>
    <row r="2" spans="1:33" x14ac:dyDescent="0.3">
      <c r="A2" s="6">
        <v>1</v>
      </c>
      <c r="B2" s="8" t="s">
        <v>6</v>
      </c>
      <c r="C2" s="8" t="s">
        <v>7</v>
      </c>
      <c r="D2" s="9">
        <v>44105</v>
      </c>
      <c r="E2" s="10" t="s">
        <v>113</v>
      </c>
      <c r="F2" s="10"/>
      <c r="G2" s="6"/>
      <c r="H2" s="6"/>
      <c r="I2" s="6"/>
      <c r="J2" s="6"/>
      <c r="K2" s="6"/>
      <c r="L2" s="6"/>
      <c r="M2" s="6"/>
      <c r="N2" s="11"/>
      <c r="O2" s="11"/>
      <c r="P2" s="12">
        <v>44105</v>
      </c>
      <c r="Q2" s="13"/>
      <c r="R2" s="6"/>
      <c r="S2" s="6"/>
      <c r="T2" s="6"/>
      <c r="U2" s="6"/>
      <c r="V2" s="6"/>
      <c r="W2" s="6"/>
      <c r="X2" s="6"/>
      <c r="Y2" s="6"/>
      <c r="Z2" s="6"/>
      <c r="AA2" s="6" t="s">
        <v>113</v>
      </c>
      <c r="AB2" s="6"/>
      <c r="AC2" s="6"/>
      <c r="AD2" s="6" t="s">
        <v>113</v>
      </c>
      <c r="AE2" s="6"/>
      <c r="AF2" s="6" t="s">
        <v>113</v>
      </c>
    </row>
    <row r="3" spans="1:33" x14ac:dyDescent="0.3">
      <c r="A3" s="6">
        <v>2</v>
      </c>
      <c r="B3" s="8" t="s">
        <v>8</v>
      </c>
      <c r="C3" s="8" t="s">
        <v>7</v>
      </c>
      <c r="D3" s="9">
        <v>44105</v>
      </c>
      <c r="E3" s="10" t="s">
        <v>113</v>
      </c>
      <c r="F3" s="10"/>
      <c r="G3" s="6" t="s">
        <v>139</v>
      </c>
      <c r="H3" s="6"/>
      <c r="I3" s="6" t="s">
        <v>137</v>
      </c>
      <c r="J3" s="6" t="s">
        <v>9</v>
      </c>
      <c r="K3" s="6"/>
      <c r="L3" s="6"/>
      <c r="M3" s="6"/>
      <c r="N3" s="11"/>
      <c r="O3" s="11"/>
      <c r="P3" s="12">
        <v>44105</v>
      </c>
      <c r="Q3" s="13"/>
      <c r="R3" s="6"/>
      <c r="S3" s="6"/>
      <c r="T3" s="6"/>
      <c r="U3" s="6"/>
      <c r="V3" s="6"/>
      <c r="W3" s="6"/>
      <c r="X3" s="6"/>
      <c r="Y3" s="6"/>
      <c r="Z3" s="6"/>
      <c r="AA3" s="6"/>
      <c r="AB3" s="6"/>
      <c r="AC3" s="6"/>
      <c r="AD3" s="6" t="s">
        <v>113</v>
      </c>
      <c r="AE3" s="6"/>
      <c r="AF3" s="6" t="s">
        <v>113</v>
      </c>
    </row>
    <row r="4" spans="1:33" x14ac:dyDescent="0.3">
      <c r="A4" s="6">
        <v>3</v>
      </c>
      <c r="B4" s="8" t="s">
        <v>10</v>
      </c>
      <c r="C4" s="8" t="s">
        <v>11</v>
      </c>
      <c r="D4" s="9">
        <v>44105</v>
      </c>
      <c r="E4" s="10"/>
      <c r="F4" s="10"/>
      <c r="G4" s="6" t="s">
        <v>139</v>
      </c>
      <c r="H4" s="6"/>
      <c r="I4" s="6" t="s">
        <v>137</v>
      </c>
      <c r="J4" s="6" t="s">
        <v>9</v>
      </c>
      <c r="K4" s="6"/>
      <c r="L4" s="6"/>
      <c r="M4" s="6"/>
      <c r="N4" s="12">
        <v>40452</v>
      </c>
      <c r="O4" s="12">
        <v>43647</v>
      </c>
      <c r="P4" s="12">
        <v>44105</v>
      </c>
      <c r="Q4" s="13">
        <f t="shared" ref="Q4" si="0">(P4-N4)/30</f>
        <v>121.76666666666667</v>
      </c>
      <c r="R4" s="14" t="s">
        <v>116</v>
      </c>
      <c r="S4" s="14" t="s">
        <v>116</v>
      </c>
      <c r="T4" s="14" t="s">
        <v>116</v>
      </c>
      <c r="U4" s="14" t="s">
        <v>116</v>
      </c>
      <c r="V4" s="15" t="s">
        <v>116</v>
      </c>
      <c r="W4" s="15" t="s">
        <v>113</v>
      </c>
      <c r="X4" s="16" t="s">
        <v>116</v>
      </c>
      <c r="Y4" s="16" t="s">
        <v>116</v>
      </c>
      <c r="Z4" s="16" t="s">
        <v>116</v>
      </c>
      <c r="AA4" s="17" t="s">
        <v>116</v>
      </c>
      <c r="AB4" s="16" t="s">
        <v>116</v>
      </c>
      <c r="AC4" s="16" t="s">
        <v>113</v>
      </c>
      <c r="AD4" s="16" t="s">
        <v>116</v>
      </c>
      <c r="AE4" s="17" t="s">
        <v>116</v>
      </c>
      <c r="AF4" s="6"/>
    </row>
    <row r="5" spans="1:33" x14ac:dyDescent="0.3">
      <c r="A5" s="6">
        <v>4</v>
      </c>
      <c r="B5" s="8" t="s">
        <v>12</v>
      </c>
      <c r="C5" s="8" t="s">
        <v>11</v>
      </c>
      <c r="D5" s="9">
        <v>44105</v>
      </c>
      <c r="E5" s="10"/>
      <c r="F5" s="10"/>
      <c r="G5" s="6" t="s">
        <v>139</v>
      </c>
      <c r="H5" s="6"/>
      <c r="I5" s="6" t="s">
        <v>138</v>
      </c>
      <c r="J5" s="6" t="s">
        <v>9</v>
      </c>
      <c r="K5" s="6"/>
      <c r="L5" s="6"/>
      <c r="M5" s="6"/>
      <c r="N5" s="18"/>
      <c r="O5" s="18"/>
      <c r="P5" s="12">
        <v>44105</v>
      </c>
      <c r="Q5" s="13"/>
      <c r="R5" s="15" t="s">
        <v>116</v>
      </c>
      <c r="S5" s="15" t="s">
        <v>116</v>
      </c>
      <c r="T5" s="15" t="s">
        <v>116</v>
      </c>
      <c r="U5" s="15" t="s">
        <v>116</v>
      </c>
      <c r="V5" s="15" t="s">
        <v>116</v>
      </c>
      <c r="W5" s="15" t="s">
        <v>113</v>
      </c>
      <c r="X5" s="16" t="s">
        <v>116</v>
      </c>
      <c r="Y5" s="16" t="s">
        <v>116</v>
      </c>
      <c r="Z5" s="16" t="s">
        <v>116</v>
      </c>
      <c r="AA5" s="16" t="s">
        <v>116</v>
      </c>
      <c r="AB5" s="16" t="s">
        <v>116</v>
      </c>
      <c r="AC5" s="16" t="s">
        <v>113</v>
      </c>
      <c r="AD5" s="16" t="s">
        <v>116</v>
      </c>
      <c r="AE5" s="17" t="s">
        <v>116</v>
      </c>
      <c r="AF5" s="6"/>
    </row>
    <row r="6" spans="1:33" x14ac:dyDescent="0.3">
      <c r="A6" s="6">
        <v>5</v>
      </c>
      <c r="B6" s="8" t="s">
        <v>13</v>
      </c>
      <c r="C6" s="8" t="s">
        <v>11</v>
      </c>
      <c r="D6" s="9">
        <v>44105</v>
      </c>
      <c r="E6" s="10"/>
      <c r="F6" s="10"/>
      <c r="G6" s="6" t="s">
        <v>139</v>
      </c>
      <c r="H6" s="6"/>
      <c r="I6" s="6" t="s">
        <v>138</v>
      </c>
      <c r="J6" s="6" t="s">
        <v>9</v>
      </c>
      <c r="K6" s="6"/>
      <c r="L6" s="6"/>
      <c r="M6" s="6"/>
      <c r="N6" s="18"/>
      <c r="O6" s="18"/>
      <c r="P6" s="12">
        <v>44105</v>
      </c>
      <c r="Q6" s="13"/>
      <c r="R6" s="8" t="s">
        <v>116</v>
      </c>
      <c r="S6" s="8" t="s">
        <v>116</v>
      </c>
      <c r="T6" s="8" t="s">
        <v>116</v>
      </c>
      <c r="U6" s="8" t="s">
        <v>116</v>
      </c>
      <c r="V6" s="8" t="s">
        <v>116</v>
      </c>
      <c r="W6" s="8" t="s">
        <v>113</v>
      </c>
      <c r="X6" s="9" t="s">
        <v>116</v>
      </c>
      <c r="Y6" s="9" t="s">
        <v>116</v>
      </c>
      <c r="Z6" s="9" t="s">
        <v>116</v>
      </c>
      <c r="AA6" s="9" t="s">
        <v>116</v>
      </c>
      <c r="AB6" s="9" t="s">
        <v>116</v>
      </c>
      <c r="AC6" s="9" t="s">
        <v>116</v>
      </c>
      <c r="AD6" s="9" t="s">
        <v>116</v>
      </c>
      <c r="AE6" s="17" t="s">
        <v>116</v>
      </c>
      <c r="AF6" s="6"/>
    </row>
    <row r="7" spans="1:33" x14ac:dyDescent="0.3">
      <c r="A7" s="6">
        <v>6</v>
      </c>
      <c r="B7" s="6" t="s">
        <v>14</v>
      </c>
      <c r="C7" s="6" t="s">
        <v>11</v>
      </c>
      <c r="D7" s="9">
        <v>44105</v>
      </c>
      <c r="E7" s="6" t="s">
        <v>113</v>
      </c>
      <c r="F7" s="6"/>
      <c r="G7" s="6" t="s">
        <v>139</v>
      </c>
      <c r="H7" s="6"/>
      <c r="I7" s="6" t="s">
        <v>137</v>
      </c>
      <c r="J7" s="6" t="s">
        <v>9</v>
      </c>
      <c r="K7" s="6"/>
      <c r="L7" s="6"/>
      <c r="M7" s="6"/>
      <c r="N7" s="12">
        <v>43374</v>
      </c>
      <c r="O7" s="12">
        <v>43739</v>
      </c>
      <c r="P7" s="12">
        <v>44105</v>
      </c>
      <c r="Q7" s="13">
        <f>(P7-N7)/30</f>
        <v>24.366666666666667</v>
      </c>
      <c r="R7" s="15" t="s">
        <v>116</v>
      </c>
      <c r="S7" s="15" t="s">
        <v>116</v>
      </c>
      <c r="T7" s="15" t="s">
        <v>116</v>
      </c>
      <c r="U7" s="15" t="s">
        <v>116</v>
      </c>
      <c r="V7" s="15" t="s">
        <v>116</v>
      </c>
      <c r="W7" s="15" t="s">
        <v>113</v>
      </c>
      <c r="X7" s="16" t="s">
        <v>116</v>
      </c>
      <c r="Y7" s="16" t="s">
        <v>116</v>
      </c>
      <c r="Z7" s="16" t="s">
        <v>116</v>
      </c>
      <c r="AA7" s="16" t="s">
        <v>116</v>
      </c>
      <c r="AB7" s="16" t="s">
        <v>116</v>
      </c>
      <c r="AC7" s="16" t="s">
        <v>117</v>
      </c>
      <c r="AD7" s="16" t="s">
        <v>116</v>
      </c>
      <c r="AE7" s="17" t="s">
        <v>116</v>
      </c>
      <c r="AF7" s="6" t="s">
        <v>113</v>
      </c>
    </row>
    <row r="8" spans="1:33" x14ac:dyDescent="0.3">
      <c r="A8" s="6">
        <v>7</v>
      </c>
      <c r="B8" s="8" t="s">
        <v>118</v>
      </c>
      <c r="C8" s="8" t="s">
        <v>11</v>
      </c>
      <c r="D8" s="9">
        <v>44105</v>
      </c>
      <c r="E8" s="10"/>
      <c r="F8" s="10"/>
      <c r="G8" s="6" t="s">
        <v>139</v>
      </c>
      <c r="H8" s="6"/>
      <c r="I8" s="6" t="s">
        <v>138</v>
      </c>
      <c r="J8" s="6" t="s">
        <v>9</v>
      </c>
      <c r="K8" s="6"/>
      <c r="L8" s="6"/>
      <c r="M8" s="6"/>
      <c r="N8" s="12">
        <v>43922</v>
      </c>
      <c r="O8" s="12">
        <v>42583</v>
      </c>
      <c r="P8" s="12">
        <v>44105</v>
      </c>
      <c r="Q8" s="13">
        <f t="shared" ref="Q8:Q54" si="1">(P8-N8)/30</f>
        <v>6.1</v>
      </c>
      <c r="R8" s="15" t="s">
        <v>116</v>
      </c>
      <c r="S8" s="15" t="s">
        <v>116</v>
      </c>
      <c r="T8" s="15" t="s">
        <v>116</v>
      </c>
      <c r="U8" s="15" t="s">
        <v>116</v>
      </c>
      <c r="V8" s="15" t="s">
        <v>116</v>
      </c>
      <c r="W8" s="15" t="s">
        <v>113</v>
      </c>
      <c r="X8" s="16" t="s">
        <v>116</v>
      </c>
      <c r="Y8" s="16" t="s">
        <v>116</v>
      </c>
      <c r="Z8" s="16" t="s">
        <v>116</v>
      </c>
      <c r="AA8" s="17" t="s">
        <v>116</v>
      </c>
      <c r="AB8" s="16" t="s">
        <v>116</v>
      </c>
      <c r="AC8" s="16" t="s">
        <v>116</v>
      </c>
      <c r="AD8" s="16" t="s">
        <v>113</v>
      </c>
      <c r="AE8" s="17" t="s">
        <v>116</v>
      </c>
      <c r="AF8" s="6"/>
    </row>
    <row r="9" spans="1:33" x14ac:dyDescent="0.3">
      <c r="A9" s="6">
        <v>8</v>
      </c>
      <c r="B9" s="8" t="s">
        <v>15</v>
      </c>
      <c r="C9" s="8" t="s">
        <v>11</v>
      </c>
      <c r="D9" s="9">
        <v>44105</v>
      </c>
      <c r="E9" s="10"/>
      <c r="F9" s="10"/>
      <c r="G9" s="6" t="s">
        <v>141</v>
      </c>
      <c r="H9" s="6"/>
      <c r="I9" s="6" t="s">
        <v>140</v>
      </c>
      <c r="J9" s="6"/>
      <c r="K9" s="6"/>
      <c r="L9" s="6"/>
      <c r="M9" s="6"/>
      <c r="N9" s="12">
        <v>43770</v>
      </c>
      <c r="O9" s="12">
        <v>43770</v>
      </c>
      <c r="P9" s="12">
        <v>44105</v>
      </c>
      <c r="Q9" s="13">
        <f t="shared" si="1"/>
        <v>11.166666666666666</v>
      </c>
      <c r="R9" s="15" t="s">
        <v>116</v>
      </c>
      <c r="S9" s="15" t="s">
        <v>116</v>
      </c>
      <c r="T9" s="15" t="s">
        <v>116</v>
      </c>
      <c r="U9" s="15" t="s">
        <v>116</v>
      </c>
      <c r="V9" s="15" t="s">
        <v>116</v>
      </c>
      <c r="W9" s="15" t="s">
        <v>113</v>
      </c>
      <c r="X9" s="16" t="s">
        <v>116</v>
      </c>
      <c r="Y9" s="16" t="s">
        <v>116</v>
      </c>
      <c r="Z9" s="16" t="s">
        <v>116</v>
      </c>
      <c r="AA9" s="17" t="s">
        <v>116</v>
      </c>
      <c r="AB9" s="16" t="s">
        <v>116</v>
      </c>
      <c r="AC9" s="16" t="s">
        <v>117</v>
      </c>
      <c r="AD9" s="16" t="s">
        <v>116</v>
      </c>
      <c r="AE9" s="17" t="s">
        <v>116</v>
      </c>
      <c r="AF9" s="6"/>
    </row>
    <row r="10" spans="1:33" x14ac:dyDescent="0.3">
      <c r="A10" s="6">
        <v>9</v>
      </c>
      <c r="B10" s="8" t="s">
        <v>16</v>
      </c>
      <c r="C10" s="8" t="s">
        <v>11</v>
      </c>
      <c r="D10" s="9">
        <v>44105</v>
      </c>
      <c r="E10" s="10"/>
      <c r="F10" s="10"/>
      <c r="G10" s="6" t="s">
        <v>17</v>
      </c>
      <c r="H10" s="6"/>
      <c r="I10" s="6"/>
      <c r="J10" s="6" t="s">
        <v>9</v>
      </c>
      <c r="K10" s="6"/>
      <c r="L10" s="6"/>
      <c r="M10" s="6"/>
      <c r="N10" s="12">
        <v>43831</v>
      </c>
      <c r="O10" s="12">
        <v>43831</v>
      </c>
      <c r="P10" s="12">
        <v>44105</v>
      </c>
      <c r="Q10" s="13">
        <f t="shared" si="1"/>
        <v>9.1333333333333329</v>
      </c>
      <c r="R10" s="15" t="s">
        <v>116</v>
      </c>
      <c r="S10" s="15" t="s">
        <v>116</v>
      </c>
      <c r="T10" s="15" t="s">
        <v>116</v>
      </c>
      <c r="U10" s="15" t="s">
        <v>116</v>
      </c>
      <c r="V10" s="15" t="s">
        <v>116</v>
      </c>
      <c r="W10" s="15" t="s">
        <v>113</v>
      </c>
      <c r="X10" s="16" t="s">
        <v>116</v>
      </c>
      <c r="Y10" s="16" t="s">
        <v>116</v>
      </c>
      <c r="Z10" s="16" t="s">
        <v>116</v>
      </c>
      <c r="AA10" s="16" t="s">
        <v>116</v>
      </c>
      <c r="AB10" s="16" t="s">
        <v>116</v>
      </c>
      <c r="AC10" s="16" t="s">
        <v>116</v>
      </c>
      <c r="AD10" s="16" t="s">
        <v>116</v>
      </c>
      <c r="AE10" s="17" t="s">
        <v>116</v>
      </c>
      <c r="AF10" s="6"/>
    </row>
    <row r="11" spans="1:33" s="38" customFormat="1" ht="43.2" x14ac:dyDescent="0.3">
      <c r="A11" s="30">
        <v>10</v>
      </c>
      <c r="B11" s="31" t="s">
        <v>18</v>
      </c>
      <c r="C11" s="31" t="s">
        <v>19</v>
      </c>
      <c r="D11" s="32">
        <v>44105</v>
      </c>
      <c r="E11" s="33"/>
      <c r="F11" s="33"/>
      <c r="G11" s="30" t="s">
        <v>139</v>
      </c>
      <c r="H11" s="30"/>
      <c r="I11" s="30" t="s">
        <v>137</v>
      </c>
      <c r="J11" s="30" t="s">
        <v>9</v>
      </c>
      <c r="K11" s="30"/>
      <c r="L11" s="30"/>
      <c r="M11" s="30" t="s">
        <v>20</v>
      </c>
      <c r="N11" s="34">
        <v>43556</v>
      </c>
      <c r="O11" s="34">
        <v>43922</v>
      </c>
      <c r="P11" s="35">
        <v>44105</v>
      </c>
      <c r="Q11" s="36">
        <f t="shared" si="1"/>
        <v>18.3</v>
      </c>
      <c r="R11" s="31" t="s">
        <v>116</v>
      </c>
      <c r="S11" s="31" t="s">
        <v>116</v>
      </c>
      <c r="T11" s="31" t="s">
        <v>116</v>
      </c>
      <c r="U11" s="31" t="s">
        <v>116</v>
      </c>
      <c r="V11" s="31" t="s">
        <v>116</v>
      </c>
      <c r="W11" s="31" t="s">
        <v>113</v>
      </c>
      <c r="X11" s="32" t="s">
        <v>116</v>
      </c>
      <c r="Y11" s="32" t="s">
        <v>116</v>
      </c>
      <c r="Z11" s="32" t="s">
        <v>116</v>
      </c>
      <c r="AA11" s="32" t="s">
        <v>113</v>
      </c>
      <c r="AB11" s="32" t="s">
        <v>113</v>
      </c>
      <c r="AC11" s="32" t="s">
        <v>117</v>
      </c>
      <c r="AD11" s="32" t="s">
        <v>116</v>
      </c>
      <c r="AE11" s="37" t="s">
        <v>116</v>
      </c>
      <c r="AF11" s="37" t="s">
        <v>116</v>
      </c>
    </row>
    <row r="12" spans="1:33" x14ac:dyDescent="0.3">
      <c r="A12" s="6">
        <v>11</v>
      </c>
      <c r="B12" s="6" t="s">
        <v>21</v>
      </c>
      <c r="C12" s="6" t="s">
        <v>22</v>
      </c>
      <c r="D12" s="9">
        <v>44044</v>
      </c>
      <c r="E12" s="20" t="s">
        <v>113</v>
      </c>
      <c r="F12" s="20"/>
      <c r="G12" s="6" t="s">
        <v>164</v>
      </c>
      <c r="H12" s="6"/>
      <c r="I12" s="6"/>
      <c r="J12" s="6"/>
      <c r="K12" s="6"/>
      <c r="L12" s="6"/>
      <c r="M12" s="6"/>
      <c r="N12" s="19">
        <v>2005</v>
      </c>
      <c r="O12" s="19">
        <v>2009</v>
      </c>
      <c r="P12" s="12">
        <v>44105</v>
      </c>
      <c r="Q12" s="13">
        <f t="shared" si="1"/>
        <v>1403.3333333333333</v>
      </c>
      <c r="R12" s="14" t="s">
        <v>116</v>
      </c>
      <c r="S12" s="14" t="s">
        <v>116</v>
      </c>
      <c r="T12" s="14" t="s">
        <v>116</v>
      </c>
      <c r="U12" s="14" t="s">
        <v>116</v>
      </c>
      <c r="V12" s="8" t="s">
        <v>116</v>
      </c>
      <c r="W12" s="14" t="s">
        <v>116</v>
      </c>
      <c r="X12" s="14" t="s">
        <v>116</v>
      </c>
      <c r="Y12" s="14" t="s">
        <v>116</v>
      </c>
      <c r="Z12" s="14" t="s">
        <v>116</v>
      </c>
      <c r="AA12" s="9" t="s">
        <v>113</v>
      </c>
      <c r="AB12" s="14" t="s">
        <v>116</v>
      </c>
      <c r="AC12" s="8" t="s">
        <v>116</v>
      </c>
      <c r="AD12" s="14" t="s">
        <v>116</v>
      </c>
      <c r="AE12" s="9" t="s">
        <v>113</v>
      </c>
      <c r="AF12" s="6"/>
    </row>
    <row r="13" spans="1:33" ht="43.2" x14ac:dyDescent="0.3">
      <c r="A13" s="6">
        <v>12</v>
      </c>
      <c r="B13" s="6" t="s">
        <v>23</v>
      </c>
      <c r="C13" s="6" t="s">
        <v>22</v>
      </c>
      <c r="D13" s="9">
        <v>44105</v>
      </c>
      <c r="E13" s="20"/>
      <c r="F13" s="20"/>
      <c r="G13" s="6" t="s">
        <v>24</v>
      </c>
      <c r="H13" s="6"/>
      <c r="I13" s="6"/>
      <c r="J13" s="6"/>
      <c r="K13" s="6"/>
      <c r="L13" s="6"/>
      <c r="M13" s="6"/>
      <c r="N13" s="19">
        <v>40422</v>
      </c>
      <c r="O13" s="19">
        <v>42278</v>
      </c>
      <c r="P13" s="12">
        <v>44105</v>
      </c>
      <c r="Q13" s="13">
        <f t="shared" si="1"/>
        <v>122.76666666666667</v>
      </c>
      <c r="R13" s="8" t="s">
        <v>113</v>
      </c>
      <c r="S13" s="8" t="s">
        <v>114</v>
      </c>
      <c r="T13" s="8"/>
      <c r="U13" s="8"/>
      <c r="V13" s="8" t="s">
        <v>113</v>
      </c>
      <c r="W13" s="8" t="s">
        <v>113</v>
      </c>
      <c r="X13" s="8"/>
      <c r="Y13" s="8"/>
      <c r="Z13" s="8" t="s">
        <v>113</v>
      </c>
      <c r="AA13" s="8"/>
      <c r="AB13" s="8" t="s">
        <v>113</v>
      </c>
      <c r="AC13" s="8"/>
      <c r="AD13" s="8" t="s">
        <v>113</v>
      </c>
      <c r="AE13" s="8" t="s">
        <v>113</v>
      </c>
      <c r="AF13" s="6"/>
    </row>
    <row r="14" spans="1:33" x14ac:dyDescent="0.3">
      <c r="A14" s="6">
        <v>13</v>
      </c>
      <c r="B14" s="8" t="s">
        <v>25</v>
      </c>
      <c r="C14" s="8" t="s">
        <v>22</v>
      </c>
      <c r="D14" s="9">
        <v>44105</v>
      </c>
      <c r="E14" s="10"/>
      <c r="F14" s="10"/>
      <c r="G14" s="6"/>
      <c r="H14" s="6"/>
      <c r="I14" s="6"/>
      <c r="J14" s="6"/>
      <c r="K14" s="6"/>
      <c r="L14" s="6"/>
      <c r="M14" s="6"/>
      <c r="N14" s="11"/>
      <c r="O14" s="11"/>
      <c r="P14" s="12">
        <v>44105</v>
      </c>
      <c r="Q14" s="13"/>
      <c r="R14" s="6"/>
      <c r="S14" s="6"/>
      <c r="T14" s="6"/>
      <c r="U14" s="6"/>
      <c r="V14" s="6"/>
      <c r="W14" s="6"/>
      <c r="X14" s="6"/>
      <c r="Y14" s="6"/>
      <c r="Z14" s="6"/>
      <c r="AA14" s="6"/>
      <c r="AB14" s="6"/>
      <c r="AC14" s="6"/>
      <c r="AD14" s="6"/>
      <c r="AE14" s="6"/>
      <c r="AF14" s="6"/>
    </row>
    <row r="15" spans="1:33" x14ac:dyDescent="0.3">
      <c r="A15" s="6">
        <v>14</v>
      </c>
      <c r="B15" s="8" t="s">
        <v>26</v>
      </c>
      <c r="C15" s="8" t="s">
        <v>22</v>
      </c>
      <c r="D15" s="9">
        <v>44105</v>
      </c>
      <c r="E15" s="21"/>
      <c r="F15" s="21"/>
      <c r="G15" s="6" t="s">
        <v>139</v>
      </c>
      <c r="H15" s="6"/>
      <c r="I15" s="6" t="s">
        <v>142</v>
      </c>
      <c r="J15" s="6" t="s">
        <v>9</v>
      </c>
      <c r="K15" s="6"/>
      <c r="L15" s="6"/>
      <c r="M15" s="6" t="s">
        <v>27</v>
      </c>
      <c r="N15" s="18"/>
      <c r="O15" s="18"/>
      <c r="P15" s="12">
        <v>44105</v>
      </c>
      <c r="Q15" s="13"/>
      <c r="R15" s="8" t="s">
        <v>116</v>
      </c>
      <c r="S15" s="8" t="s">
        <v>116</v>
      </c>
      <c r="T15" s="8" t="s">
        <v>116</v>
      </c>
      <c r="U15" s="8" t="s">
        <v>116</v>
      </c>
      <c r="V15" s="8" t="s">
        <v>116</v>
      </c>
      <c r="W15" s="8" t="s">
        <v>113</v>
      </c>
      <c r="X15" s="9" t="s">
        <v>116</v>
      </c>
      <c r="Y15" s="9" t="s">
        <v>116</v>
      </c>
      <c r="Z15" s="9" t="s">
        <v>116</v>
      </c>
      <c r="AA15" s="17" t="s">
        <v>116</v>
      </c>
      <c r="AB15" s="9" t="s">
        <v>116</v>
      </c>
      <c r="AC15" s="9" t="s">
        <v>113</v>
      </c>
      <c r="AD15" s="9" t="s">
        <v>116</v>
      </c>
      <c r="AE15" s="17" t="s">
        <v>116</v>
      </c>
      <c r="AF15" s="6"/>
    </row>
    <row r="16" spans="1:33" ht="28.8" x14ac:dyDescent="0.3">
      <c r="A16" s="6">
        <v>15</v>
      </c>
      <c r="B16" s="8" t="s">
        <v>28</v>
      </c>
      <c r="C16" s="8" t="s">
        <v>29</v>
      </c>
      <c r="D16" s="9">
        <v>44105</v>
      </c>
      <c r="E16" s="10"/>
      <c r="F16" s="10"/>
      <c r="G16" s="6" t="s">
        <v>30</v>
      </c>
      <c r="H16" s="6"/>
      <c r="I16" s="6" t="s">
        <v>31</v>
      </c>
      <c r="J16" s="6"/>
      <c r="K16" s="6"/>
      <c r="L16" s="6" t="s">
        <v>32</v>
      </c>
      <c r="M16" s="6"/>
      <c r="N16" s="11"/>
      <c r="O16" s="11"/>
      <c r="P16" s="12">
        <v>44105</v>
      </c>
      <c r="Q16" s="13"/>
      <c r="R16" s="6"/>
      <c r="S16" s="6"/>
      <c r="T16" s="6"/>
      <c r="U16" s="6"/>
      <c r="V16" s="6"/>
      <c r="W16" s="6"/>
      <c r="X16" s="6"/>
      <c r="Y16" s="6"/>
      <c r="Z16" s="6"/>
      <c r="AA16" s="6"/>
      <c r="AB16" s="6"/>
      <c r="AC16" s="6"/>
      <c r="AD16" s="6"/>
      <c r="AE16" s="6"/>
      <c r="AF16" s="6"/>
    </row>
    <row r="17" spans="1:32" ht="72" x14ac:dyDescent="0.3">
      <c r="A17" s="6">
        <v>16</v>
      </c>
      <c r="B17" s="8" t="s">
        <v>33</v>
      </c>
      <c r="C17" s="8" t="s">
        <v>29</v>
      </c>
      <c r="D17" s="9">
        <v>44105</v>
      </c>
      <c r="E17" s="21"/>
      <c r="F17" s="21"/>
      <c r="G17" s="6" t="s">
        <v>34</v>
      </c>
      <c r="H17" s="6"/>
      <c r="I17" s="6" t="s">
        <v>35</v>
      </c>
      <c r="J17" s="6" t="s">
        <v>36</v>
      </c>
      <c r="K17" s="6"/>
      <c r="L17" s="6"/>
      <c r="M17" s="6"/>
      <c r="N17" s="11"/>
      <c r="O17" s="11"/>
      <c r="P17" s="12">
        <v>44105</v>
      </c>
      <c r="Q17" s="13"/>
      <c r="R17" s="6"/>
      <c r="S17" s="6"/>
      <c r="T17" s="6"/>
      <c r="U17" s="6"/>
      <c r="V17" s="6"/>
      <c r="W17" s="6"/>
      <c r="X17" s="6"/>
      <c r="Y17" s="6"/>
      <c r="Z17" s="6"/>
      <c r="AA17" s="6"/>
      <c r="AB17" s="6"/>
      <c r="AC17" s="6"/>
      <c r="AD17" s="6"/>
      <c r="AE17" s="6"/>
      <c r="AF17" s="6"/>
    </row>
    <row r="18" spans="1:32" x14ac:dyDescent="0.3">
      <c r="A18" s="6">
        <v>17</v>
      </c>
      <c r="B18" s="8" t="s">
        <v>37</v>
      </c>
      <c r="C18" s="8" t="s">
        <v>29</v>
      </c>
      <c r="D18" s="9">
        <v>44105</v>
      </c>
      <c r="E18" s="10"/>
      <c r="F18" s="10"/>
      <c r="G18" s="6"/>
      <c r="H18" s="6"/>
      <c r="I18" s="6"/>
      <c r="J18" s="6"/>
      <c r="K18" s="6"/>
      <c r="L18" s="6" t="s">
        <v>32</v>
      </c>
      <c r="M18" s="6" t="s">
        <v>20</v>
      </c>
      <c r="N18" s="11"/>
      <c r="O18" s="11"/>
      <c r="P18" s="12">
        <v>44105</v>
      </c>
      <c r="Q18" s="13"/>
      <c r="R18" s="6"/>
      <c r="S18" s="6"/>
      <c r="T18" s="6"/>
      <c r="U18" s="6"/>
      <c r="V18" s="6"/>
      <c r="W18" s="6"/>
      <c r="X18" s="6"/>
      <c r="Y18" s="6"/>
      <c r="Z18" s="6"/>
      <c r="AA18" s="6"/>
      <c r="AB18" s="6"/>
      <c r="AC18" s="6"/>
      <c r="AD18" s="6"/>
      <c r="AE18" s="6"/>
      <c r="AF18" s="6"/>
    </row>
    <row r="19" spans="1:32" x14ac:dyDescent="0.3">
      <c r="A19" s="6">
        <v>18</v>
      </c>
      <c r="B19" s="8" t="s">
        <v>38</v>
      </c>
      <c r="C19" s="8" t="s">
        <v>29</v>
      </c>
      <c r="D19" s="9">
        <v>44105</v>
      </c>
      <c r="E19" s="10"/>
      <c r="F19" s="10"/>
      <c r="G19" s="6"/>
      <c r="H19" s="6"/>
      <c r="I19" s="6"/>
      <c r="J19" s="6"/>
      <c r="K19" s="6"/>
      <c r="L19" s="6" t="s">
        <v>32</v>
      </c>
      <c r="M19" s="6"/>
      <c r="N19" s="11"/>
      <c r="O19" s="11"/>
      <c r="P19" s="12">
        <v>44105</v>
      </c>
      <c r="Q19" s="13"/>
      <c r="R19" s="6"/>
      <c r="S19" s="6"/>
      <c r="T19" s="6"/>
      <c r="U19" s="6"/>
      <c r="V19" s="6"/>
      <c r="W19" s="6"/>
      <c r="X19" s="6"/>
      <c r="Y19" s="6"/>
      <c r="Z19" s="6"/>
      <c r="AA19" s="6"/>
      <c r="AB19" s="6"/>
      <c r="AC19" s="6"/>
      <c r="AD19" s="6"/>
      <c r="AE19" s="6"/>
      <c r="AF19" s="6"/>
    </row>
    <row r="20" spans="1:32" x14ac:dyDescent="0.3">
      <c r="A20" s="6">
        <v>19</v>
      </c>
      <c r="B20" s="8" t="s">
        <v>39</v>
      </c>
      <c r="C20" s="8" t="s">
        <v>29</v>
      </c>
      <c r="D20" s="9">
        <v>44105</v>
      </c>
      <c r="E20" s="10"/>
      <c r="F20" s="10"/>
      <c r="G20" s="6" t="s">
        <v>34</v>
      </c>
      <c r="H20" s="6"/>
      <c r="I20" s="6" t="s">
        <v>40</v>
      </c>
      <c r="J20" s="6"/>
      <c r="K20" s="6"/>
      <c r="L20" s="6" t="s">
        <v>32</v>
      </c>
      <c r="M20" s="6"/>
      <c r="N20" s="11"/>
      <c r="O20" s="11"/>
      <c r="P20" s="12">
        <v>44105</v>
      </c>
      <c r="Q20" s="13"/>
      <c r="R20" s="6"/>
      <c r="S20" s="6"/>
      <c r="T20" s="6"/>
      <c r="U20" s="6"/>
      <c r="V20" s="6"/>
      <c r="W20" s="6"/>
      <c r="X20" s="6"/>
      <c r="Y20" s="6"/>
      <c r="Z20" s="6"/>
      <c r="AA20" s="6"/>
      <c r="AB20" s="6"/>
      <c r="AC20" s="6"/>
      <c r="AD20" s="6"/>
      <c r="AE20" s="6"/>
      <c r="AF20" s="6"/>
    </row>
    <row r="21" spans="1:32" x14ac:dyDescent="0.3">
      <c r="A21" s="6">
        <v>20</v>
      </c>
      <c r="B21" s="6" t="s">
        <v>41</v>
      </c>
      <c r="C21" s="6" t="s">
        <v>29</v>
      </c>
      <c r="D21" s="22" t="s">
        <v>42</v>
      </c>
      <c r="E21" s="6"/>
      <c r="F21" s="6"/>
      <c r="G21" s="6" t="s">
        <v>147</v>
      </c>
      <c r="H21" s="6"/>
      <c r="I21" s="6"/>
      <c r="J21" s="6"/>
      <c r="K21" s="6"/>
      <c r="L21" s="6"/>
      <c r="M21" s="6"/>
      <c r="N21" s="11"/>
      <c r="O21" s="11"/>
      <c r="P21" s="12">
        <v>44105</v>
      </c>
      <c r="Q21" s="13"/>
      <c r="R21" s="6"/>
      <c r="S21" s="6"/>
      <c r="T21" s="6"/>
      <c r="U21" s="6"/>
      <c r="V21" s="6"/>
      <c r="W21" s="6"/>
      <c r="X21" s="6"/>
      <c r="Y21" s="6"/>
      <c r="Z21" s="6"/>
      <c r="AA21" s="6"/>
      <c r="AB21" s="6"/>
      <c r="AC21" s="6"/>
      <c r="AD21" s="6"/>
      <c r="AE21" s="6"/>
      <c r="AF21" s="6"/>
    </row>
    <row r="22" spans="1:32" s="38" customFormat="1" x14ac:dyDescent="0.3">
      <c r="A22" s="30">
        <v>21</v>
      </c>
      <c r="B22" s="31" t="s">
        <v>43</v>
      </c>
      <c r="C22" s="31" t="s">
        <v>44</v>
      </c>
      <c r="D22" s="32">
        <v>44105</v>
      </c>
      <c r="E22" s="33"/>
      <c r="F22" s="33"/>
      <c r="G22" s="30" t="s">
        <v>147</v>
      </c>
      <c r="H22" s="30"/>
      <c r="I22" s="30"/>
      <c r="J22" s="30"/>
      <c r="K22" s="30"/>
      <c r="L22" s="30"/>
      <c r="M22" s="30" t="s">
        <v>45</v>
      </c>
      <c r="N22" s="39">
        <v>42767</v>
      </c>
      <c r="O22" s="39">
        <v>42767</v>
      </c>
      <c r="P22" s="35">
        <v>44105</v>
      </c>
      <c r="Q22" s="36">
        <v>34</v>
      </c>
      <c r="R22" s="32" t="s">
        <v>116</v>
      </c>
      <c r="S22" s="32" t="s">
        <v>116</v>
      </c>
      <c r="T22" s="32" t="s">
        <v>116</v>
      </c>
      <c r="U22" s="32" t="s">
        <v>116</v>
      </c>
      <c r="V22" s="32" t="s">
        <v>116</v>
      </c>
      <c r="W22" s="32" t="s">
        <v>116</v>
      </c>
      <c r="X22" s="32" t="s">
        <v>116</v>
      </c>
      <c r="Y22" s="32" t="s">
        <v>116</v>
      </c>
      <c r="Z22" s="32" t="s">
        <v>116</v>
      </c>
      <c r="AA22" s="32" t="s">
        <v>116</v>
      </c>
      <c r="AB22" s="32" t="s">
        <v>116</v>
      </c>
      <c r="AC22" s="32" t="s">
        <v>116</v>
      </c>
      <c r="AD22" s="30" t="s">
        <v>113</v>
      </c>
      <c r="AE22" s="32" t="s">
        <v>116</v>
      </c>
      <c r="AF22" s="32" t="s">
        <v>116</v>
      </c>
    </row>
    <row r="23" spans="1:32" s="38" customFormat="1" ht="57.6" x14ac:dyDescent="0.3">
      <c r="A23" s="30">
        <v>22</v>
      </c>
      <c r="B23" s="31" t="s">
        <v>46</v>
      </c>
      <c r="C23" s="31" t="s">
        <v>44</v>
      </c>
      <c r="D23" s="32">
        <v>44105</v>
      </c>
      <c r="E23" s="33"/>
      <c r="F23" s="33" t="s">
        <v>113</v>
      </c>
      <c r="G23" s="30" t="s">
        <v>147</v>
      </c>
      <c r="H23" s="30"/>
      <c r="I23" s="30"/>
      <c r="J23" s="30" t="s">
        <v>47</v>
      </c>
      <c r="K23" s="30"/>
      <c r="L23" s="30"/>
      <c r="M23" s="30" t="s">
        <v>48</v>
      </c>
      <c r="N23" s="39">
        <v>41183</v>
      </c>
      <c r="O23" s="39" t="s">
        <v>203</v>
      </c>
      <c r="P23" s="35">
        <v>44105</v>
      </c>
      <c r="Q23" s="36">
        <v>97</v>
      </c>
      <c r="R23" s="30" t="s">
        <v>113</v>
      </c>
      <c r="S23" s="30" t="s">
        <v>202</v>
      </c>
      <c r="T23" s="32" t="s">
        <v>113</v>
      </c>
      <c r="U23" s="32" t="s">
        <v>116</v>
      </c>
      <c r="V23" s="32" t="s">
        <v>116</v>
      </c>
      <c r="W23" s="30" t="s">
        <v>113</v>
      </c>
      <c r="X23" s="32" t="s">
        <v>116</v>
      </c>
      <c r="Y23" s="32" t="s">
        <v>116</v>
      </c>
      <c r="Z23" s="30" t="s">
        <v>113</v>
      </c>
      <c r="AA23" s="30" t="s">
        <v>113</v>
      </c>
      <c r="AB23" s="30" t="s">
        <v>113</v>
      </c>
      <c r="AC23" s="30" t="s">
        <v>113</v>
      </c>
      <c r="AD23" s="30" t="s">
        <v>113</v>
      </c>
      <c r="AE23" s="30" t="s">
        <v>113</v>
      </c>
      <c r="AF23" s="30" t="s">
        <v>113</v>
      </c>
    </row>
    <row r="24" spans="1:32" s="38" customFormat="1" x14ac:dyDescent="0.3">
      <c r="A24" s="30">
        <v>23</v>
      </c>
      <c r="B24" s="30" t="s">
        <v>49</v>
      </c>
      <c r="C24" s="30" t="s">
        <v>44</v>
      </c>
      <c r="D24" s="32">
        <v>44105</v>
      </c>
      <c r="E24" s="30" t="s">
        <v>113</v>
      </c>
      <c r="F24" s="30" t="s">
        <v>113</v>
      </c>
      <c r="G24" s="30" t="s">
        <v>147</v>
      </c>
      <c r="H24" s="30"/>
      <c r="I24" s="30"/>
      <c r="J24" s="30"/>
      <c r="K24" s="30"/>
      <c r="L24" s="30"/>
      <c r="M24" s="30" t="s">
        <v>50</v>
      </c>
      <c r="N24" s="39">
        <v>41487</v>
      </c>
      <c r="O24" s="39">
        <v>41487</v>
      </c>
      <c r="P24" s="35">
        <v>44105</v>
      </c>
      <c r="Q24" s="36">
        <v>87</v>
      </c>
      <c r="R24" s="32" t="s">
        <v>116</v>
      </c>
      <c r="S24" s="32" t="s">
        <v>116</v>
      </c>
      <c r="T24" s="30" t="s">
        <v>113</v>
      </c>
      <c r="U24" s="32" t="s">
        <v>116</v>
      </c>
      <c r="V24" s="32" t="s">
        <v>116</v>
      </c>
      <c r="W24" s="32" t="s">
        <v>116</v>
      </c>
      <c r="X24" s="32" t="s">
        <v>116</v>
      </c>
      <c r="Y24" s="32" t="s">
        <v>116</v>
      </c>
      <c r="Z24" s="32" t="s">
        <v>116</v>
      </c>
      <c r="AA24" s="30" t="s">
        <v>113</v>
      </c>
      <c r="AB24" s="30" t="s">
        <v>113</v>
      </c>
      <c r="AC24" s="32" t="s">
        <v>116</v>
      </c>
      <c r="AD24" s="30" t="s">
        <v>113</v>
      </c>
      <c r="AE24" s="32" t="s">
        <v>116</v>
      </c>
      <c r="AF24" s="32" t="s">
        <v>116</v>
      </c>
    </row>
    <row r="25" spans="1:32" s="45" customFormat="1" ht="28.8" x14ac:dyDescent="0.3">
      <c r="A25" s="40">
        <v>24</v>
      </c>
      <c r="B25" s="40" t="s">
        <v>51</v>
      </c>
      <c r="C25" s="40" t="s">
        <v>44</v>
      </c>
      <c r="D25" s="41">
        <v>44287</v>
      </c>
      <c r="E25" s="40" t="s">
        <v>204</v>
      </c>
      <c r="F25" s="40"/>
      <c r="G25" s="40" t="s">
        <v>147</v>
      </c>
      <c r="H25" s="40"/>
      <c r="I25" s="40"/>
      <c r="J25" s="40"/>
      <c r="K25" s="40"/>
      <c r="L25" s="40"/>
      <c r="M25" s="40"/>
      <c r="N25" s="42"/>
      <c r="O25" s="42"/>
      <c r="P25" s="43">
        <v>44105</v>
      </c>
      <c r="Q25" s="44"/>
      <c r="R25" s="40"/>
      <c r="S25" s="40"/>
      <c r="T25" s="40"/>
      <c r="U25" s="40"/>
      <c r="V25" s="40"/>
      <c r="W25" s="40"/>
      <c r="X25" s="40"/>
      <c r="Y25" s="40"/>
      <c r="Z25" s="40"/>
      <c r="AA25" s="40"/>
      <c r="AB25" s="40"/>
      <c r="AC25" s="40"/>
      <c r="AD25" s="40"/>
      <c r="AE25" s="40"/>
      <c r="AF25" s="40"/>
    </row>
    <row r="26" spans="1:32" s="38" customFormat="1" ht="28.8" x14ac:dyDescent="0.3">
      <c r="A26" s="30">
        <v>25</v>
      </c>
      <c r="B26" s="30" t="s">
        <v>52</v>
      </c>
      <c r="C26" s="30" t="s">
        <v>44</v>
      </c>
      <c r="D26" s="32">
        <v>44105</v>
      </c>
      <c r="E26" s="30"/>
      <c r="F26" s="30"/>
      <c r="G26" s="30" t="s">
        <v>147</v>
      </c>
      <c r="H26" s="30"/>
      <c r="I26" s="30"/>
      <c r="J26" s="30"/>
      <c r="K26" s="30"/>
      <c r="L26" s="30"/>
      <c r="M26" s="30" t="s">
        <v>20</v>
      </c>
      <c r="N26" s="39">
        <v>41183</v>
      </c>
      <c r="O26" s="39" t="s">
        <v>205</v>
      </c>
      <c r="P26" s="35">
        <v>44105</v>
      </c>
      <c r="Q26" s="36">
        <v>97</v>
      </c>
      <c r="R26" s="32" t="s">
        <v>116</v>
      </c>
      <c r="S26" s="32" t="s">
        <v>116</v>
      </c>
      <c r="T26" s="32" t="s">
        <v>116</v>
      </c>
      <c r="U26" s="32" t="s">
        <v>116</v>
      </c>
      <c r="V26" s="32" t="s">
        <v>116</v>
      </c>
      <c r="W26" s="30" t="s">
        <v>113</v>
      </c>
      <c r="X26" s="32" t="s">
        <v>116</v>
      </c>
      <c r="Y26" s="32" t="s">
        <v>116</v>
      </c>
      <c r="Z26" s="32" t="s">
        <v>116</v>
      </c>
      <c r="AA26" s="32" t="s">
        <v>116</v>
      </c>
      <c r="AB26" s="32" t="s">
        <v>116</v>
      </c>
      <c r="AC26" s="32" t="s">
        <v>116</v>
      </c>
      <c r="AD26" s="32" t="s">
        <v>116</v>
      </c>
      <c r="AE26" s="32" t="s">
        <v>116</v>
      </c>
      <c r="AF26" s="32" t="s">
        <v>116</v>
      </c>
    </row>
    <row r="27" spans="1:32" x14ac:dyDescent="0.3">
      <c r="A27" s="6">
        <v>26</v>
      </c>
      <c r="B27" s="6" t="s">
        <v>53</v>
      </c>
      <c r="C27" s="6" t="s">
        <v>54</v>
      </c>
      <c r="D27" s="9">
        <v>44105</v>
      </c>
      <c r="E27" s="6"/>
      <c r="F27" s="6"/>
      <c r="G27" s="6" t="s">
        <v>143</v>
      </c>
      <c r="H27" s="6"/>
      <c r="I27" s="6" t="s">
        <v>55</v>
      </c>
      <c r="J27" s="6"/>
      <c r="K27" s="6"/>
      <c r="L27" s="6"/>
      <c r="M27" s="6"/>
      <c r="N27" s="11"/>
      <c r="O27" s="11"/>
      <c r="P27" s="12">
        <v>44105</v>
      </c>
      <c r="Q27" s="13"/>
      <c r="R27" s="6"/>
      <c r="S27" s="6"/>
      <c r="T27" s="6"/>
      <c r="U27" s="6"/>
      <c r="V27" s="6"/>
      <c r="W27" s="6"/>
      <c r="X27" s="6"/>
      <c r="Y27" s="6"/>
      <c r="Z27" s="6"/>
      <c r="AA27" s="6"/>
      <c r="AB27" s="6"/>
      <c r="AC27" s="6"/>
      <c r="AD27" s="6"/>
      <c r="AE27" s="6"/>
      <c r="AF27" s="6"/>
    </row>
    <row r="28" spans="1:32" x14ac:dyDescent="0.3">
      <c r="A28" s="6">
        <v>27</v>
      </c>
      <c r="B28" s="8" t="s">
        <v>56</v>
      </c>
      <c r="C28" s="8" t="s">
        <v>54</v>
      </c>
      <c r="D28" s="9">
        <v>44105</v>
      </c>
      <c r="E28" s="10" t="s">
        <v>113</v>
      </c>
      <c r="F28" s="10"/>
      <c r="G28" s="6" t="s">
        <v>139</v>
      </c>
      <c r="H28" s="6"/>
      <c r="I28" s="6" t="s">
        <v>137</v>
      </c>
      <c r="J28" s="6" t="s">
        <v>9</v>
      </c>
      <c r="K28" s="6"/>
      <c r="L28" s="6"/>
      <c r="M28" s="6"/>
      <c r="N28" s="19">
        <v>43009</v>
      </c>
      <c r="O28" s="19">
        <v>43009</v>
      </c>
      <c r="P28" s="12">
        <v>44105</v>
      </c>
      <c r="Q28" s="13">
        <f t="shared" si="1"/>
        <v>36.533333333333331</v>
      </c>
      <c r="R28" s="8" t="s">
        <v>116</v>
      </c>
      <c r="S28" s="8" t="s">
        <v>116</v>
      </c>
      <c r="T28" s="8" t="s">
        <v>116</v>
      </c>
      <c r="U28" s="8" t="s">
        <v>116</v>
      </c>
      <c r="V28" s="8" t="s">
        <v>116</v>
      </c>
      <c r="W28" s="9">
        <v>43891</v>
      </c>
      <c r="X28" s="8" t="s">
        <v>116</v>
      </c>
      <c r="Y28" s="8" t="s">
        <v>116</v>
      </c>
      <c r="Z28" s="8" t="s">
        <v>116</v>
      </c>
      <c r="AA28" s="14" t="s">
        <v>116</v>
      </c>
      <c r="AB28" s="14" t="s">
        <v>116</v>
      </c>
      <c r="AC28" s="8" t="s">
        <v>116</v>
      </c>
      <c r="AD28" s="14" t="s">
        <v>116</v>
      </c>
      <c r="AE28" s="14" t="s">
        <v>116</v>
      </c>
      <c r="AF28" s="6" t="s">
        <v>113</v>
      </c>
    </row>
    <row r="29" spans="1:32" ht="86.4" x14ac:dyDescent="0.3">
      <c r="A29" s="6">
        <v>28</v>
      </c>
      <c r="B29" s="8" t="s">
        <v>57</v>
      </c>
      <c r="C29" s="8" t="s">
        <v>54</v>
      </c>
      <c r="D29" s="9">
        <v>44105</v>
      </c>
      <c r="E29" s="10"/>
      <c r="F29" s="10"/>
      <c r="G29" s="6" t="s">
        <v>139</v>
      </c>
      <c r="H29" s="6"/>
      <c r="I29" s="6"/>
      <c r="J29" s="6" t="s">
        <v>9</v>
      </c>
      <c r="K29" s="6"/>
      <c r="L29" s="6"/>
      <c r="M29" s="6"/>
      <c r="N29" s="19">
        <v>42552</v>
      </c>
      <c r="O29" s="19">
        <v>42552</v>
      </c>
      <c r="P29" s="12">
        <v>44105</v>
      </c>
      <c r="Q29" s="13">
        <f t="shared" si="1"/>
        <v>51.766666666666666</v>
      </c>
      <c r="R29" s="4" t="s">
        <v>130</v>
      </c>
      <c r="S29" s="8" t="s">
        <v>116</v>
      </c>
      <c r="T29" s="8" t="s">
        <v>116</v>
      </c>
      <c r="U29" s="8" t="s">
        <v>116</v>
      </c>
      <c r="V29" s="8" t="s">
        <v>116</v>
      </c>
      <c r="W29" s="23"/>
      <c r="X29" s="8" t="s">
        <v>116</v>
      </c>
      <c r="Y29" s="8" t="s">
        <v>116</v>
      </c>
      <c r="Z29" s="8" t="s">
        <v>116</v>
      </c>
      <c r="AA29" s="14" t="s">
        <v>116</v>
      </c>
      <c r="AB29" s="9" t="s">
        <v>113</v>
      </c>
      <c r="AC29" s="8" t="s">
        <v>116</v>
      </c>
      <c r="AD29" s="9" t="s">
        <v>113</v>
      </c>
      <c r="AE29" s="14" t="s">
        <v>116</v>
      </c>
      <c r="AF29" s="6" t="s">
        <v>113</v>
      </c>
    </row>
    <row r="30" spans="1:32" x14ac:dyDescent="0.3">
      <c r="A30" s="6">
        <v>29</v>
      </c>
      <c r="B30" s="8" t="s">
        <v>58</v>
      </c>
      <c r="C30" s="8" t="s">
        <v>54</v>
      </c>
      <c r="D30" s="9">
        <v>44105</v>
      </c>
      <c r="E30" s="10"/>
      <c r="F30" s="10"/>
      <c r="G30" s="6" t="s">
        <v>139</v>
      </c>
      <c r="H30" s="6"/>
      <c r="I30" s="6" t="s">
        <v>144</v>
      </c>
      <c r="J30" s="6" t="s">
        <v>9</v>
      </c>
      <c r="K30" s="6"/>
      <c r="L30" s="6"/>
      <c r="M30" s="6"/>
      <c r="N30" s="19">
        <v>42370</v>
      </c>
      <c r="O30" s="19">
        <v>42675</v>
      </c>
      <c r="P30" s="12">
        <v>44105</v>
      </c>
      <c r="Q30" s="13">
        <f t="shared" si="1"/>
        <v>57.833333333333336</v>
      </c>
      <c r="R30" s="14" t="s">
        <v>116</v>
      </c>
      <c r="S30" s="8" t="s">
        <v>116</v>
      </c>
      <c r="T30" s="8" t="s">
        <v>116</v>
      </c>
      <c r="U30" s="8" t="s">
        <v>116</v>
      </c>
      <c r="V30" s="8" t="s">
        <v>116</v>
      </c>
      <c r="W30" s="23"/>
      <c r="X30" s="8" t="s">
        <v>116</v>
      </c>
      <c r="Y30" s="8" t="s">
        <v>116</v>
      </c>
      <c r="Z30" s="8" t="s">
        <v>116</v>
      </c>
      <c r="AA30" s="9" t="s">
        <v>113</v>
      </c>
      <c r="AB30" s="9" t="s">
        <v>113</v>
      </c>
      <c r="AC30" s="8" t="s">
        <v>113</v>
      </c>
      <c r="AD30" s="9" t="s">
        <v>113</v>
      </c>
      <c r="AE30" s="9" t="s">
        <v>113</v>
      </c>
      <c r="AF30" s="6" t="s">
        <v>113</v>
      </c>
    </row>
    <row r="31" spans="1:32" ht="28.8" x14ac:dyDescent="0.3">
      <c r="A31" s="6">
        <v>30</v>
      </c>
      <c r="B31" s="8" t="s">
        <v>59</v>
      </c>
      <c r="C31" s="8" t="s">
        <v>60</v>
      </c>
      <c r="D31" s="9">
        <v>44105</v>
      </c>
      <c r="E31" s="21"/>
      <c r="F31" s="21"/>
      <c r="G31" s="6" t="s">
        <v>139</v>
      </c>
      <c r="H31" s="6"/>
      <c r="I31" s="6" t="s">
        <v>72</v>
      </c>
      <c r="J31" s="6" t="s">
        <v>61</v>
      </c>
      <c r="K31" s="6"/>
      <c r="L31" s="6"/>
      <c r="M31" s="6"/>
      <c r="N31" s="19">
        <v>37987</v>
      </c>
      <c r="O31" s="19">
        <v>39448</v>
      </c>
      <c r="P31" s="12">
        <v>44105</v>
      </c>
      <c r="Q31" s="13">
        <f t="shared" si="1"/>
        <v>203.93333333333334</v>
      </c>
      <c r="R31" s="8" t="s">
        <v>113</v>
      </c>
      <c r="S31" s="8" t="s">
        <v>113</v>
      </c>
      <c r="T31" s="8" t="s">
        <v>113</v>
      </c>
      <c r="U31" s="14" t="s">
        <v>116</v>
      </c>
      <c r="V31" s="8" t="s">
        <v>113</v>
      </c>
      <c r="W31" s="9"/>
      <c r="X31" s="17" t="s">
        <v>116</v>
      </c>
      <c r="Y31" s="17" t="s">
        <v>116</v>
      </c>
      <c r="Z31" s="17" t="s">
        <v>116</v>
      </c>
      <c r="AA31" s="9" t="s">
        <v>113</v>
      </c>
      <c r="AB31" s="9" t="s">
        <v>113</v>
      </c>
      <c r="AC31" s="9" t="s">
        <v>113</v>
      </c>
      <c r="AD31" s="9" t="s">
        <v>113</v>
      </c>
      <c r="AE31" s="9" t="s">
        <v>113</v>
      </c>
      <c r="AF31" s="6" t="s">
        <v>113</v>
      </c>
    </row>
    <row r="32" spans="1:32" ht="57.6" x14ac:dyDescent="0.3">
      <c r="A32" s="6">
        <v>31</v>
      </c>
      <c r="B32" s="8" t="s">
        <v>62</v>
      </c>
      <c r="C32" s="8" t="s">
        <v>60</v>
      </c>
      <c r="D32" s="9">
        <v>44105</v>
      </c>
      <c r="E32" s="10" t="s">
        <v>113</v>
      </c>
      <c r="F32" s="10"/>
      <c r="G32" s="6" t="s">
        <v>145</v>
      </c>
      <c r="H32" s="6"/>
      <c r="I32" s="6" t="s">
        <v>146</v>
      </c>
      <c r="J32" s="6" t="s">
        <v>63</v>
      </c>
      <c r="K32" s="6"/>
      <c r="L32" s="6"/>
      <c r="M32" s="6" t="s">
        <v>64</v>
      </c>
      <c r="N32" s="19">
        <v>42491</v>
      </c>
      <c r="O32" s="19">
        <v>42491</v>
      </c>
      <c r="P32" s="12">
        <v>44105</v>
      </c>
      <c r="Q32" s="13">
        <f t="shared" si="1"/>
        <v>53.8</v>
      </c>
      <c r="R32" s="14" t="s">
        <v>116</v>
      </c>
      <c r="S32" s="8" t="s">
        <v>116</v>
      </c>
      <c r="T32" s="8" t="s">
        <v>116</v>
      </c>
      <c r="U32" s="8" t="s">
        <v>116</v>
      </c>
      <c r="V32" s="8" t="s">
        <v>116</v>
      </c>
      <c r="W32" s="14" t="s">
        <v>116</v>
      </c>
      <c r="X32" s="8" t="s">
        <v>116</v>
      </c>
      <c r="Y32" s="8" t="s">
        <v>116</v>
      </c>
      <c r="Z32" s="8" t="s">
        <v>116</v>
      </c>
      <c r="AA32" s="9" t="s">
        <v>113</v>
      </c>
      <c r="AB32" s="9" t="s">
        <v>113</v>
      </c>
      <c r="AC32" s="9" t="s">
        <v>116</v>
      </c>
      <c r="AD32" s="9" t="s">
        <v>113</v>
      </c>
      <c r="AE32" s="17" t="s">
        <v>113</v>
      </c>
      <c r="AF32" s="6" t="s">
        <v>113</v>
      </c>
    </row>
    <row r="33" spans="1:32" ht="86.4" x14ac:dyDescent="0.3">
      <c r="A33" s="6">
        <v>32</v>
      </c>
      <c r="B33" s="8" t="s">
        <v>65</v>
      </c>
      <c r="C33" s="8" t="s">
        <v>60</v>
      </c>
      <c r="D33" s="9">
        <v>44105</v>
      </c>
      <c r="E33" s="10"/>
      <c r="F33" s="10"/>
      <c r="G33" s="6" t="s">
        <v>139</v>
      </c>
      <c r="H33" s="6"/>
      <c r="I33" s="6" t="s">
        <v>72</v>
      </c>
      <c r="J33" s="6" t="s">
        <v>61</v>
      </c>
      <c r="K33" s="6"/>
      <c r="L33" s="6"/>
      <c r="M33" s="6"/>
      <c r="N33" s="19">
        <v>42217</v>
      </c>
      <c r="O33" s="19">
        <v>42217</v>
      </c>
      <c r="P33" s="12">
        <v>44105</v>
      </c>
      <c r="Q33" s="13">
        <f t="shared" si="1"/>
        <v>62.93333333333333</v>
      </c>
      <c r="R33" s="14" t="s">
        <v>116</v>
      </c>
      <c r="S33" s="4" t="s">
        <v>128</v>
      </c>
      <c r="T33" s="8" t="s">
        <v>116</v>
      </c>
      <c r="U33" s="8" t="s">
        <v>116</v>
      </c>
      <c r="V33" s="8" t="s">
        <v>116</v>
      </c>
      <c r="W33" s="9"/>
      <c r="X33" s="9" t="s">
        <v>116</v>
      </c>
      <c r="Y33" s="9" t="s">
        <v>116</v>
      </c>
      <c r="Z33" s="9" t="s">
        <v>116</v>
      </c>
      <c r="AA33" s="9" t="s">
        <v>113</v>
      </c>
      <c r="AB33" s="9" t="s">
        <v>113</v>
      </c>
      <c r="AC33" s="9" t="s">
        <v>116</v>
      </c>
      <c r="AD33" s="9" t="s">
        <v>113</v>
      </c>
      <c r="AE33" s="9" t="s">
        <v>113</v>
      </c>
      <c r="AF33" s="6" t="s">
        <v>113</v>
      </c>
    </row>
    <row r="34" spans="1:32" ht="28.8" x14ac:dyDescent="0.3">
      <c r="A34" s="6">
        <v>33</v>
      </c>
      <c r="B34" s="6" t="s">
        <v>66</v>
      </c>
      <c r="C34" s="6" t="s">
        <v>60</v>
      </c>
      <c r="D34" s="22" t="s">
        <v>67</v>
      </c>
      <c r="E34" s="6" t="s">
        <v>113</v>
      </c>
      <c r="F34" s="6"/>
      <c r="G34" s="6" t="s">
        <v>139</v>
      </c>
      <c r="H34" s="6"/>
      <c r="I34" s="6" t="s">
        <v>72</v>
      </c>
      <c r="J34" s="6" t="s">
        <v>61</v>
      </c>
      <c r="K34" s="6"/>
      <c r="L34" s="6"/>
      <c r="M34" s="6"/>
      <c r="N34" s="19">
        <v>43952</v>
      </c>
      <c r="O34" s="19">
        <v>43952</v>
      </c>
      <c r="P34" s="12">
        <v>44105</v>
      </c>
      <c r="Q34" s="13">
        <f t="shared" si="1"/>
        <v>5.0999999999999996</v>
      </c>
      <c r="R34" s="8" t="s">
        <v>116</v>
      </c>
      <c r="S34" s="8" t="s">
        <v>116</v>
      </c>
      <c r="T34" s="8" t="s">
        <v>116</v>
      </c>
      <c r="U34" s="8" t="s">
        <v>116</v>
      </c>
      <c r="V34" s="8" t="s">
        <v>116</v>
      </c>
      <c r="W34" s="14" t="s">
        <v>116</v>
      </c>
      <c r="X34" s="9" t="s">
        <v>116</v>
      </c>
      <c r="Y34" s="9" t="s">
        <v>116</v>
      </c>
      <c r="Z34" s="9" t="s">
        <v>116</v>
      </c>
      <c r="AA34" s="9" t="s">
        <v>116</v>
      </c>
      <c r="AB34" s="9" t="s">
        <v>116</v>
      </c>
      <c r="AC34" s="9" t="s">
        <v>116</v>
      </c>
      <c r="AD34" s="17" t="s">
        <v>116</v>
      </c>
      <c r="AE34" s="17" t="s">
        <v>116</v>
      </c>
      <c r="AF34" s="6"/>
    </row>
    <row r="35" spans="1:32" ht="28.8" x14ac:dyDescent="0.3">
      <c r="A35" s="6">
        <v>34</v>
      </c>
      <c r="B35" s="6" t="s">
        <v>68</v>
      </c>
      <c r="C35" s="6" t="s">
        <v>60</v>
      </c>
      <c r="D35" s="22" t="s">
        <v>67</v>
      </c>
      <c r="E35" s="6" t="s">
        <v>113</v>
      </c>
      <c r="F35" s="6"/>
      <c r="G35" s="6" t="s">
        <v>139</v>
      </c>
      <c r="H35" s="6"/>
      <c r="I35" s="6" t="s">
        <v>72</v>
      </c>
      <c r="J35" s="6" t="s">
        <v>61</v>
      </c>
      <c r="K35" s="6"/>
      <c r="L35" s="6"/>
      <c r="M35" s="6"/>
      <c r="N35" s="11"/>
      <c r="O35" s="11"/>
      <c r="P35" s="12">
        <v>44105</v>
      </c>
      <c r="Q35" s="13"/>
      <c r="R35" s="6"/>
      <c r="S35" s="6"/>
      <c r="T35" s="6"/>
      <c r="U35" s="6"/>
      <c r="V35" s="6"/>
      <c r="W35" s="6" t="s">
        <v>113</v>
      </c>
      <c r="X35" s="6"/>
      <c r="Y35" s="6"/>
      <c r="Z35" s="6"/>
      <c r="AA35" s="6"/>
      <c r="AB35" s="6"/>
      <c r="AC35" s="6"/>
      <c r="AD35" s="6"/>
      <c r="AE35" s="6"/>
      <c r="AF35" s="6" t="s">
        <v>113</v>
      </c>
    </row>
    <row r="36" spans="1:32" ht="28.8" x14ac:dyDescent="0.3">
      <c r="A36" s="6">
        <v>35</v>
      </c>
      <c r="B36" s="6" t="s">
        <v>69</v>
      </c>
      <c r="C36" s="6" t="s">
        <v>60</v>
      </c>
      <c r="D36" s="22" t="s">
        <v>70</v>
      </c>
      <c r="E36" s="6"/>
      <c r="F36" s="6"/>
      <c r="G36" s="6" t="s">
        <v>139</v>
      </c>
      <c r="H36" s="6"/>
      <c r="I36" s="6" t="s">
        <v>72</v>
      </c>
      <c r="J36" s="6" t="s">
        <v>61</v>
      </c>
      <c r="K36" s="6"/>
      <c r="L36" s="6"/>
      <c r="M36" s="6"/>
      <c r="N36" s="19">
        <v>43922</v>
      </c>
      <c r="O36" s="19">
        <v>43922</v>
      </c>
      <c r="P36" s="12">
        <v>44105</v>
      </c>
      <c r="Q36" s="13">
        <f t="shared" si="1"/>
        <v>6.1</v>
      </c>
      <c r="R36" s="8" t="s">
        <v>116</v>
      </c>
      <c r="S36" s="8" t="s">
        <v>116</v>
      </c>
      <c r="T36" s="8" t="s">
        <v>116</v>
      </c>
      <c r="U36" s="8" t="s">
        <v>116</v>
      </c>
      <c r="V36" s="8" t="s">
        <v>116</v>
      </c>
      <c r="W36" s="9" t="s">
        <v>113</v>
      </c>
      <c r="X36" s="9" t="s">
        <v>116</v>
      </c>
      <c r="Y36" s="9" t="s">
        <v>116</v>
      </c>
      <c r="Z36" s="9" t="s">
        <v>116</v>
      </c>
      <c r="AA36" s="9" t="s">
        <v>116</v>
      </c>
      <c r="AB36" s="9" t="s">
        <v>116</v>
      </c>
      <c r="AC36" s="9" t="s">
        <v>116</v>
      </c>
      <c r="AD36" s="17" t="s">
        <v>116</v>
      </c>
      <c r="AE36" s="17" t="s">
        <v>116</v>
      </c>
      <c r="AF36" s="6"/>
    </row>
    <row r="37" spans="1:32" ht="28.8" x14ac:dyDescent="0.3">
      <c r="A37" s="6">
        <v>36</v>
      </c>
      <c r="B37" s="6" t="s">
        <v>71</v>
      </c>
      <c r="C37" s="6" t="s">
        <v>60</v>
      </c>
      <c r="D37" s="22" t="s">
        <v>67</v>
      </c>
      <c r="E37" s="6" t="s">
        <v>113</v>
      </c>
      <c r="F37" s="6"/>
      <c r="G37" s="6" t="s">
        <v>139</v>
      </c>
      <c r="H37" s="6"/>
      <c r="I37" s="6" t="s">
        <v>72</v>
      </c>
      <c r="J37" s="6" t="s">
        <v>61</v>
      </c>
      <c r="K37" s="6"/>
      <c r="L37" s="6"/>
      <c r="M37" s="6"/>
      <c r="N37" s="11"/>
      <c r="O37" s="11"/>
      <c r="P37" s="12">
        <v>44105</v>
      </c>
      <c r="Q37" s="13"/>
      <c r="R37" s="8" t="s">
        <v>116</v>
      </c>
      <c r="S37" s="8" t="s">
        <v>116</v>
      </c>
      <c r="T37" s="8" t="s">
        <v>116</v>
      </c>
      <c r="U37" s="8" t="s">
        <v>116</v>
      </c>
      <c r="V37" s="8" t="s">
        <v>116</v>
      </c>
      <c r="W37" s="8" t="s">
        <v>116</v>
      </c>
      <c r="X37" s="8" t="s">
        <v>116</v>
      </c>
      <c r="Y37" s="8" t="s">
        <v>116</v>
      </c>
      <c r="Z37" s="8" t="s">
        <v>116</v>
      </c>
      <c r="AA37" s="8" t="s">
        <v>116</v>
      </c>
      <c r="AB37" s="8" t="s">
        <v>116</v>
      </c>
      <c r="AC37" s="8" t="s">
        <v>116</v>
      </c>
      <c r="AD37" s="8" t="s">
        <v>116</v>
      </c>
      <c r="AE37" s="8" t="s">
        <v>116</v>
      </c>
      <c r="AF37" s="8" t="s">
        <v>116</v>
      </c>
    </row>
    <row r="38" spans="1:32" ht="28.8" x14ac:dyDescent="0.3">
      <c r="A38" s="6">
        <v>37</v>
      </c>
      <c r="B38" s="8" t="s">
        <v>73</v>
      </c>
      <c r="C38" s="8" t="s">
        <v>74</v>
      </c>
      <c r="D38" s="9">
        <v>44105</v>
      </c>
      <c r="E38" s="10"/>
      <c r="F38" s="10"/>
      <c r="G38" s="6" t="s">
        <v>148</v>
      </c>
      <c r="H38" s="6"/>
      <c r="I38" s="6" t="s">
        <v>75</v>
      </c>
      <c r="J38" s="6" t="s">
        <v>155</v>
      </c>
      <c r="K38" s="6"/>
      <c r="L38" s="6"/>
      <c r="M38" s="6"/>
      <c r="N38" s="19">
        <v>41883</v>
      </c>
      <c r="O38" s="19">
        <v>43739</v>
      </c>
      <c r="P38" s="12">
        <v>44105</v>
      </c>
      <c r="Q38" s="13">
        <f t="shared" si="1"/>
        <v>74.066666666666663</v>
      </c>
      <c r="R38" s="14" t="s">
        <v>116</v>
      </c>
      <c r="S38" s="14" t="s">
        <v>116</v>
      </c>
      <c r="T38" s="14" t="s">
        <v>116</v>
      </c>
      <c r="U38" s="14" t="s">
        <v>116</v>
      </c>
      <c r="V38" s="8" t="s">
        <v>116</v>
      </c>
      <c r="W38" s="8" t="s">
        <v>113</v>
      </c>
      <c r="X38" s="9" t="s">
        <v>116</v>
      </c>
      <c r="Y38" s="9" t="s">
        <v>116</v>
      </c>
      <c r="Z38" s="9" t="s">
        <v>113</v>
      </c>
      <c r="AA38" s="9" t="s">
        <v>113</v>
      </c>
      <c r="AB38" s="9" t="s">
        <v>116</v>
      </c>
      <c r="AC38" s="9" t="s">
        <v>113</v>
      </c>
      <c r="AD38" s="9" t="s">
        <v>113</v>
      </c>
      <c r="AE38" s="17" t="s">
        <v>116</v>
      </c>
      <c r="AF38" s="6"/>
    </row>
    <row r="39" spans="1:32" ht="28.8" x14ac:dyDescent="0.3">
      <c r="A39" s="6">
        <v>38</v>
      </c>
      <c r="B39" s="8" t="s">
        <v>76</v>
      </c>
      <c r="C39" s="8" t="s">
        <v>74</v>
      </c>
      <c r="D39" s="9">
        <v>44105</v>
      </c>
      <c r="E39" s="10"/>
      <c r="F39" s="10"/>
      <c r="G39" s="6" t="s">
        <v>148</v>
      </c>
      <c r="H39" s="6"/>
      <c r="I39" s="6" t="s">
        <v>77</v>
      </c>
      <c r="J39" s="6"/>
      <c r="K39" s="6"/>
      <c r="L39" s="6"/>
      <c r="M39" s="6"/>
      <c r="N39" s="19">
        <v>40848</v>
      </c>
      <c r="O39" s="19">
        <v>43466</v>
      </c>
      <c r="P39" s="12">
        <v>44105</v>
      </c>
      <c r="Q39" s="13">
        <f t="shared" si="1"/>
        <v>108.56666666666666</v>
      </c>
      <c r="R39" s="8" t="s">
        <v>113</v>
      </c>
      <c r="S39" s="8" t="s">
        <v>114</v>
      </c>
      <c r="T39" s="8"/>
      <c r="U39" s="8"/>
      <c r="V39" s="8"/>
      <c r="W39" s="8" t="s">
        <v>113</v>
      </c>
      <c r="X39" s="8"/>
      <c r="Y39" s="8"/>
      <c r="Z39" s="8"/>
      <c r="AA39" s="8"/>
      <c r="AB39" s="8" t="s">
        <v>113</v>
      </c>
      <c r="AC39" s="8"/>
      <c r="AD39" s="8" t="s">
        <v>113</v>
      </c>
      <c r="AE39" s="8" t="s">
        <v>113</v>
      </c>
      <c r="AF39" s="6"/>
    </row>
    <row r="40" spans="1:32" x14ac:dyDescent="0.3">
      <c r="A40" s="6">
        <v>39</v>
      </c>
      <c r="B40" s="8" t="s">
        <v>78</v>
      </c>
      <c r="C40" s="8" t="s">
        <v>74</v>
      </c>
      <c r="D40" s="9">
        <v>44105</v>
      </c>
      <c r="E40" s="10" t="s">
        <v>113</v>
      </c>
      <c r="F40" s="10"/>
      <c r="G40" s="6" t="s">
        <v>148</v>
      </c>
      <c r="H40" s="6"/>
      <c r="I40" s="6"/>
      <c r="J40" s="6"/>
      <c r="K40" s="6"/>
      <c r="L40" s="6"/>
      <c r="M40" s="6"/>
      <c r="N40" s="19">
        <v>43374</v>
      </c>
      <c r="O40" s="19">
        <v>43922</v>
      </c>
      <c r="P40" s="12">
        <v>44105</v>
      </c>
      <c r="Q40" s="13">
        <f t="shared" si="1"/>
        <v>24.366666666666667</v>
      </c>
      <c r="R40" s="8"/>
      <c r="S40" s="8"/>
      <c r="T40" s="8"/>
      <c r="U40" s="8"/>
      <c r="V40" s="8"/>
      <c r="W40" s="8" t="s">
        <v>113</v>
      </c>
      <c r="X40" s="8"/>
      <c r="Y40" s="8"/>
      <c r="Z40" s="8"/>
      <c r="AA40" s="8"/>
      <c r="AB40" s="8"/>
      <c r="AC40" s="8"/>
      <c r="AD40" s="8"/>
      <c r="AE40" s="8"/>
      <c r="AF40" s="6" t="s">
        <v>113</v>
      </c>
    </row>
    <row r="41" spans="1:32" x14ac:dyDescent="0.3">
      <c r="A41" s="6">
        <v>40</v>
      </c>
      <c r="B41" s="8" t="s">
        <v>79</v>
      </c>
      <c r="C41" s="8" t="s">
        <v>80</v>
      </c>
      <c r="D41" s="9">
        <v>44105</v>
      </c>
      <c r="E41" s="10"/>
      <c r="F41" s="10"/>
      <c r="G41" s="6" t="s">
        <v>149</v>
      </c>
      <c r="H41" s="6"/>
      <c r="I41" s="6" t="s">
        <v>81</v>
      </c>
      <c r="J41" s="6"/>
      <c r="K41" s="6"/>
      <c r="L41" s="6"/>
      <c r="M41" s="6"/>
      <c r="N41" s="12">
        <v>39264</v>
      </c>
      <c r="O41" s="12">
        <v>41365</v>
      </c>
      <c r="P41" s="12">
        <v>44105</v>
      </c>
      <c r="Q41" s="13">
        <f t="shared" si="1"/>
        <v>161.36666666666667</v>
      </c>
      <c r="R41" s="15" t="s">
        <v>115</v>
      </c>
      <c r="S41" s="15" t="s">
        <v>115</v>
      </c>
      <c r="T41" s="15" t="s">
        <v>115</v>
      </c>
      <c r="U41" s="15" t="s">
        <v>115</v>
      </c>
      <c r="V41" s="15"/>
      <c r="W41" s="15" t="s">
        <v>115</v>
      </c>
      <c r="X41" s="15"/>
      <c r="Y41" s="15"/>
      <c r="Z41" s="15"/>
      <c r="AA41" s="15"/>
      <c r="AB41" s="15" t="s">
        <v>115</v>
      </c>
      <c r="AC41" s="15"/>
      <c r="AD41" s="15" t="s">
        <v>115</v>
      </c>
      <c r="AE41" s="15" t="s">
        <v>115</v>
      </c>
      <c r="AF41" s="6"/>
    </row>
    <row r="42" spans="1:32" x14ac:dyDescent="0.3">
      <c r="A42" s="6">
        <v>41</v>
      </c>
      <c r="B42" s="8" t="s">
        <v>82</v>
      </c>
      <c r="C42" s="8" t="s">
        <v>80</v>
      </c>
      <c r="D42" s="9">
        <v>44105</v>
      </c>
      <c r="E42" s="10" t="s">
        <v>113</v>
      </c>
      <c r="F42" s="10"/>
      <c r="G42" s="6" t="s">
        <v>83</v>
      </c>
      <c r="H42" s="6"/>
      <c r="I42" s="6"/>
      <c r="J42" s="6"/>
      <c r="K42" s="6"/>
      <c r="L42" s="6"/>
      <c r="M42" s="6"/>
      <c r="N42" s="12">
        <v>43617</v>
      </c>
      <c r="O42" s="12">
        <v>43617</v>
      </c>
      <c r="P42" s="12">
        <v>44105</v>
      </c>
      <c r="Q42" s="13">
        <f t="shared" si="1"/>
        <v>16.266666666666666</v>
      </c>
      <c r="R42" s="15" t="s">
        <v>116</v>
      </c>
      <c r="S42" s="15" t="s">
        <v>116</v>
      </c>
      <c r="T42" s="15" t="s">
        <v>116</v>
      </c>
      <c r="U42" s="15" t="s">
        <v>116</v>
      </c>
      <c r="V42" s="15" t="s">
        <v>116</v>
      </c>
      <c r="W42" s="15" t="s">
        <v>116</v>
      </c>
      <c r="X42" s="15" t="s">
        <v>116</v>
      </c>
      <c r="Y42" s="15" t="s">
        <v>116</v>
      </c>
      <c r="Z42" s="15" t="s">
        <v>116</v>
      </c>
      <c r="AA42" s="15" t="s">
        <v>116</v>
      </c>
      <c r="AB42" s="15" t="s">
        <v>116</v>
      </c>
      <c r="AC42" s="15" t="s">
        <v>116</v>
      </c>
      <c r="AD42" s="15" t="s">
        <v>116</v>
      </c>
      <c r="AE42" s="15" t="s">
        <v>116</v>
      </c>
      <c r="AF42" s="6"/>
    </row>
    <row r="43" spans="1:32" x14ac:dyDescent="0.3">
      <c r="A43" s="6">
        <v>42</v>
      </c>
      <c r="B43" s="8" t="s">
        <v>84</v>
      </c>
      <c r="C43" s="8" t="s">
        <v>85</v>
      </c>
      <c r="D43" s="9">
        <v>44105</v>
      </c>
      <c r="E43" s="10"/>
      <c r="F43" s="10"/>
      <c r="G43" s="6" t="s">
        <v>154</v>
      </c>
      <c r="H43" s="6"/>
      <c r="I43" s="6"/>
      <c r="J43" s="6"/>
      <c r="K43" s="6"/>
      <c r="L43" s="6"/>
      <c r="M43" s="6"/>
      <c r="N43" s="11"/>
      <c r="O43" s="11"/>
      <c r="P43" s="12">
        <v>44105</v>
      </c>
      <c r="Q43" s="13"/>
      <c r="R43" s="6"/>
      <c r="S43" s="6"/>
      <c r="T43" s="6"/>
      <c r="U43" s="6"/>
      <c r="V43" s="6"/>
      <c r="W43" s="6"/>
      <c r="X43" s="6"/>
      <c r="Y43" s="6"/>
      <c r="Z43" s="6"/>
      <c r="AA43" s="6"/>
      <c r="AB43" s="6"/>
      <c r="AC43" s="6"/>
      <c r="AD43" s="6"/>
      <c r="AE43" s="6"/>
      <c r="AF43" s="6"/>
    </row>
    <row r="44" spans="1:32" x14ac:dyDescent="0.3">
      <c r="A44" s="6">
        <v>43</v>
      </c>
      <c r="B44" s="8" t="s">
        <v>87</v>
      </c>
      <c r="C44" s="8" t="s">
        <v>85</v>
      </c>
      <c r="D44" s="9">
        <v>44105</v>
      </c>
      <c r="E44" s="10"/>
      <c r="F44" s="10"/>
      <c r="G44" s="6" t="s">
        <v>86</v>
      </c>
      <c r="H44" s="6"/>
      <c r="I44" s="6"/>
      <c r="J44" s="6"/>
      <c r="K44" s="6"/>
      <c r="L44" s="6"/>
      <c r="M44" s="6"/>
      <c r="N44" s="11"/>
      <c r="O44" s="11"/>
      <c r="P44" s="12">
        <v>44105</v>
      </c>
      <c r="Q44" s="13"/>
      <c r="R44" s="6"/>
      <c r="S44" s="6"/>
      <c r="T44" s="6"/>
      <c r="U44" s="6"/>
      <c r="V44" s="6"/>
      <c r="W44" s="6"/>
      <c r="X44" s="6"/>
      <c r="Y44" s="6"/>
      <c r="Z44" s="6"/>
      <c r="AA44" s="6"/>
      <c r="AB44" s="6"/>
      <c r="AC44" s="6"/>
      <c r="AD44" s="6"/>
      <c r="AE44" s="6"/>
      <c r="AF44" s="6"/>
    </row>
    <row r="45" spans="1:32" ht="28.8" x14ac:dyDescent="0.3">
      <c r="A45" s="6">
        <v>44</v>
      </c>
      <c r="B45" s="6" t="s">
        <v>88</v>
      </c>
      <c r="C45" s="6" t="s">
        <v>89</v>
      </c>
      <c r="D45" s="22" t="s">
        <v>67</v>
      </c>
      <c r="E45" s="6" t="s">
        <v>113</v>
      </c>
      <c r="F45" s="6"/>
      <c r="G45" s="6"/>
      <c r="H45" s="6"/>
      <c r="I45" s="6"/>
      <c r="J45" s="6"/>
      <c r="K45" s="6"/>
      <c r="L45" s="6" t="s">
        <v>90</v>
      </c>
      <c r="M45" s="6"/>
      <c r="N45" s="11"/>
      <c r="O45" s="11"/>
      <c r="P45" s="12">
        <v>44105</v>
      </c>
      <c r="Q45" s="13"/>
      <c r="R45" s="6"/>
      <c r="S45" s="6"/>
      <c r="T45" s="6"/>
      <c r="U45" s="6"/>
      <c r="V45" s="6"/>
      <c r="W45" s="6"/>
      <c r="X45" s="6"/>
      <c r="Y45" s="6"/>
      <c r="Z45" s="6"/>
      <c r="AA45" s="6" t="s">
        <v>135</v>
      </c>
      <c r="AB45" s="6"/>
      <c r="AC45" s="6"/>
      <c r="AD45" s="6"/>
      <c r="AE45" s="6"/>
      <c r="AF45" s="6" t="s">
        <v>113</v>
      </c>
    </row>
    <row r="46" spans="1:32" x14ac:dyDescent="0.3">
      <c r="A46" s="6">
        <v>45</v>
      </c>
      <c r="B46" s="6" t="s">
        <v>91</v>
      </c>
      <c r="C46" s="6"/>
      <c r="D46" s="9">
        <v>44105</v>
      </c>
      <c r="E46" s="20"/>
      <c r="F46" s="20"/>
      <c r="G46" s="6"/>
      <c r="H46" s="6"/>
      <c r="I46" s="6"/>
      <c r="J46" s="6"/>
      <c r="K46" s="6"/>
      <c r="L46" s="6"/>
      <c r="M46" s="6" t="s">
        <v>20</v>
      </c>
      <c r="N46" s="11"/>
      <c r="O46" s="11"/>
      <c r="P46" s="12">
        <v>44105</v>
      </c>
      <c r="Q46" s="13"/>
      <c r="R46" s="6"/>
      <c r="S46" s="6"/>
      <c r="T46" s="6"/>
      <c r="U46" s="6"/>
      <c r="V46" s="6"/>
      <c r="W46" s="6"/>
      <c r="X46" s="6"/>
      <c r="Y46" s="6"/>
      <c r="Z46" s="6"/>
      <c r="AA46" s="6"/>
      <c r="AB46" s="6"/>
      <c r="AC46" s="6"/>
      <c r="AD46" s="6"/>
      <c r="AE46" s="6"/>
      <c r="AF46" s="6"/>
    </row>
    <row r="47" spans="1:32" ht="28.8" x14ac:dyDescent="0.3">
      <c r="A47" s="6">
        <v>46</v>
      </c>
      <c r="B47" s="6" t="s">
        <v>92</v>
      </c>
      <c r="C47" s="46" t="s">
        <v>201</v>
      </c>
      <c r="D47" s="22" t="s">
        <v>121</v>
      </c>
      <c r="E47" s="6"/>
      <c r="F47" s="6"/>
      <c r="G47" s="6" t="s">
        <v>147</v>
      </c>
      <c r="H47" s="6"/>
      <c r="I47" s="6"/>
      <c r="J47" s="6"/>
      <c r="K47" s="6"/>
      <c r="L47" s="6"/>
      <c r="M47" s="6"/>
      <c r="N47" s="11"/>
      <c r="O47" s="11"/>
      <c r="P47" s="12">
        <v>44105</v>
      </c>
      <c r="Q47" s="13"/>
      <c r="R47" s="6"/>
      <c r="S47" s="6"/>
      <c r="T47" s="6"/>
      <c r="U47" s="6"/>
      <c r="V47" s="6"/>
      <c r="W47" s="6"/>
      <c r="X47" s="6"/>
      <c r="Y47" s="6"/>
      <c r="Z47" s="6"/>
      <c r="AA47" s="6"/>
      <c r="AB47" s="6"/>
      <c r="AC47" s="6"/>
      <c r="AD47" s="6"/>
      <c r="AE47" s="6"/>
      <c r="AF47" s="6"/>
    </row>
    <row r="48" spans="1:32" x14ac:dyDescent="0.3">
      <c r="A48" s="6" t="s">
        <v>113</v>
      </c>
      <c r="B48" s="6" t="s">
        <v>95</v>
      </c>
      <c r="C48" s="6"/>
      <c r="D48" s="22" t="s">
        <v>121</v>
      </c>
      <c r="E48" s="6" t="s">
        <v>113</v>
      </c>
      <c r="F48" s="6"/>
      <c r="G48" s="6"/>
      <c r="H48" s="6"/>
      <c r="I48" s="6"/>
      <c r="J48" s="6"/>
      <c r="K48" s="6"/>
      <c r="L48" s="6"/>
      <c r="M48" s="6"/>
      <c r="N48" s="11"/>
      <c r="O48" s="11"/>
      <c r="P48" s="12">
        <v>44105</v>
      </c>
      <c r="Q48" s="13"/>
      <c r="R48" s="6"/>
      <c r="S48" s="6"/>
      <c r="T48" s="6"/>
      <c r="U48" s="6"/>
      <c r="V48" s="6"/>
      <c r="W48" s="6"/>
      <c r="X48" s="6"/>
      <c r="Y48" s="6"/>
      <c r="Z48" s="6"/>
      <c r="AA48" s="6"/>
      <c r="AB48" s="6"/>
      <c r="AC48" s="6"/>
      <c r="AD48" s="6" t="s">
        <v>113</v>
      </c>
      <c r="AE48" s="6"/>
      <c r="AF48" s="6" t="s">
        <v>113</v>
      </c>
    </row>
    <row r="49" spans="1:32" x14ac:dyDescent="0.3">
      <c r="A49" s="6" t="s">
        <v>113</v>
      </c>
      <c r="B49" s="6" t="s">
        <v>96</v>
      </c>
      <c r="C49" s="6" t="s">
        <v>80</v>
      </c>
      <c r="D49" s="22" t="s">
        <v>121</v>
      </c>
      <c r="E49" s="6" t="s">
        <v>113</v>
      </c>
      <c r="F49" s="6"/>
      <c r="G49" s="6"/>
      <c r="H49" s="6"/>
      <c r="I49" s="6"/>
      <c r="J49" s="6"/>
      <c r="K49" s="6"/>
      <c r="L49" s="6"/>
      <c r="M49" s="6"/>
      <c r="N49" s="12">
        <v>41061</v>
      </c>
      <c r="O49" s="12">
        <v>41061</v>
      </c>
      <c r="P49" s="12">
        <v>44105</v>
      </c>
      <c r="Q49" s="13">
        <f t="shared" si="1"/>
        <v>101.46666666666667</v>
      </c>
      <c r="R49" s="15" t="s">
        <v>115</v>
      </c>
      <c r="S49" s="15" t="s">
        <v>115</v>
      </c>
      <c r="T49" s="15" t="s">
        <v>115</v>
      </c>
      <c r="U49" s="15" t="s">
        <v>116</v>
      </c>
      <c r="V49" s="15" t="s">
        <v>116</v>
      </c>
      <c r="W49" s="15" t="s">
        <v>115</v>
      </c>
      <c r="X49" s="15" t="s">
        <v>116</v>
      </c>
      <c r="Y49" s="15" t="s">
        <v>116</v>
      </c>
      <c r="Z49" s="15" t="s">
        <v>116</v>
      </c>
      <c r="AA49" s="15" t="s">
        <v>116</v>
      </c>
      <c r="AB49" s="15" t="s">
        <v>116</v>
      </c>
      <c r="AC49" s="15" t="s">
        <v>116</v>
      </c>
      <c r="AD49" s="15" t="s">
        <v>115</v>
      </c>
      <c r="AE49" s="15" t="s">
        <v>115</v>
      </c>
      <c r="AF49" s="6" t="s">
        <v>113</v>
      </c>
    </row>
    <row r="50" spans="1:32" x14ac:dyDescent="0.3">
      <c r="A50" s="6" t="s">
        <v>113</v>
      </c>
      <c r="B50" s="6" t="s">
        <v>119</v>
      </c>
      <c r="C50" s="6" t="s">
        <v>11</v>
      </c>
      <c r="D50" s="22" t="s">
        <v>121</v>
      </c>
      <c r="E50" s="6"/>
      <c r="F50" s="6"/>
      <c r="G50" s="6"/>
      <c r="H50" s="6"/>
      <c r="I50" s="6"/>
      <c r="J50" s="6"/>
      <c r="K50" s="6"/>
      <c r="L50" s="6"/>
      <c r="M50" s="6"/>
      <c r="N50" s="12">
        <v>41518</v>
      </c>
      <c r="O50" s="12">
        <v>43800</v>
      </c>
      <c r="P50" s="12">
        <v>44105</v>
      </c>
      <c r="Q50" s="13">
        <f t="shared" si="1"/>
        <v>86.233333333333334</v>
      </c>
      <c r="R50" s="14" t="s">
        <v>116</v>
      </c>
      <c r="S50" s="14" t="s">
        <v>116</v>
      </c>
      <c r="T50" s="14" t="s">
        <v>116</v>
      </c>
      <c r="U50" s="14" t="s">
        <v>116</v>
      </c>
      <c r="V50" s="15" t="s">
        <v>116</v>
      </c>
      <c r="W50" s="15" t="s">
        <v>113</v>
      </c>
      <c r="X50" s="16" t="s">
        <v>116</v>
      </c>
      <c r="Y50" s="16" t="s">
        <v>116</v>
      </c>
      <c r="Z50" s="16" t="s">
        <v>116</v>
      </c>
      <c r="AA50" s="16" t="s">
        <v>113</v>
      </c>
      <c r="AB50" s="16" t="s">
        <v>116</v>
      </c>
      <c r="AC50" s="16" t="s">
        <v>116</v>
      </c>
      <c r="AD50" s="16" t="s">
        <v>116</v>
      </c>
      <c r="AE50" s="17" t="s">
        <v>116</v>
      </c>
      <c r="AF50" s="6"/>
    </row>
    <row r="51" spans="1:32" x14ac:dyDescent="0.3">
      <c r="A51" s="6" t="s">
        <v>113</v>
      </c>
      <c r="B51" s="6" t="s">
        <v>120</v>
      </c>
      <c r="C51" s="6" t="s">
        <v>121</v>
      </c>
      <c r="D51" s="22" t="s">
        <v>121</v>
      </c>
      <c r="E51" s="6"/>
      <c r="F51" s="6"/>
      <c r="G51" s="6"/>
      <c r="H51" s="6"/>
      <c r="I51" s="6"/>
      <c r="J51" s="6"/>
      <c r="K51" s="6"/>
      <c r="L51" s="6"/>
      <c r="M51" s="6"/>
      <c r="N51" s="12">
        <v>42979</v>
      </c>
      <c r="O51" s="12">
        <v>42614</v>
      </c>
      <c r="P51" s="12">
        <v>44105</v>
      </c>
      <c r="Q51" s="13">
        <f t="shared" si="1"/>
        <v>37.533333333333331</v>
      </c>
      <c r="R51" s="15" t="s">
        <v>116</v>
      </c>
      <c r="S51" s="15" t="s">
        <v>116</v>
      </c>
      <c r="T51" s="15" t="s">
        <v>116</v>
      </c>
      <c r="U51" s="15" t="s">
        <v>116</v>
      </c>
      <c r="V51" s="15" t="s">
        <v>116</v>
      </c>
      <c r="W51" s="15" t="s">
        <v>113</v>
      </c>
      <c r="X51" s="16" t="s">
        <v>116</v>
      </c>
      <c r="Y51" s="16" t="s">
        <v>116</v>
      </c>
      <c r="Z51" s="16" t="s">
        <v>116</v>
      </c>
      <c r="AA51" s="17" t="s">
        <v>116</v>
      </c>
      <c r="AB51" s="16" t="s">
        <v>116</v>
      </c>
      <c r="AC51" s="16" t="s">
        <v>116</v>
      </c>
      <c r="AD51" s="16" t="s">
        <v>113</v>
      </c>
      <c r="AE51" s="17" t="s">
        <v>116</v>
      </c>
      <c r="AF51" s="6"/>
    </row>
    <row r="52" spans="1:32" x14ac:dyDescent="0.3">
      <c r="A52" s="6" t="s">
        <v>113</v>
      </c>
      <c r="B52" s="6" t="s">
        <v>122</v>
      </c>
      <c r="C52" s="6"/>
      <c r="D52" s="22" t="s">
        <v>121</v>
      </c>
      <c r="E52" s="6"/>
      <c r="F52" s="6"/>
      <c r="G52" s="6"/>
      <c r="H52" s="6"/>
      <c r="I52" s="6"/>
      <c r="J52" s="6"/>
      <c r="K52" s="6"/>
      <c r="L52" s="6"/>
      <c r="M52" s="6"/>
      <c r="N52" s="12">
        <v>43435</v>
      </c>
      <c r="O52" s="12">
        <v>43435</v>
      </c>
      <c r="P52" s="12">
        <v>44105</v>
      </c>
      <c r="Q52" s="13">
        <f t="shared" si="1"/>
        <v>22.333333333333332</v>
      </c>
      <c r="R52" s="15" t="s">
        <v>116</v>
      </c>
      <c r="S52" s="15" t="s">
        <v>116</v>
      </c>
      <c r="T52" s="15" t="s">
        <v>116</v>
      </c>
      <c r="U52" s="15" t="s">
        <v>116</v>
      </c>
      <c r="V52" s="15" t="s">
        <v>116</v>
      </c>
      <c r="W52" s="15" t="s">
        <v>113</v>
      </c>
      <c r="X52" s="16" t="s">
        <v>116</v>
      </c>
      <c r="Y52" s="16" t="s">
        <v>116</v>
      </c>
      <c r="Z52" s="16" t="s">
        <v>116</v>
      </c>
      <c r="AA52" s="16" t="s">
        <v>116</v>
      </c>
      <c r="AB52" s="16" t="s">
        <v>116</v>
      </c>
      <c r="AC52" s="16" t="s">
        <v>113</v>
      </c>
      <c r="AD52" s="16" t="s">
        <v>116</v>
      </c>
      <c r="AE52" s="17" t="s">
        <v>116</v>
      </c>
      <c r="AF52" s="6"/>
    </row>
    <row r="53" spans="1:32" x14ac:dyDescent="0.3">
      <c r="A53" s="6" t="s">
        <v>113</v>
      </c>
      <c r="B53" s="6" t="s">
        <v>123</v>
      </c>
      <c r="C53" s="6" t="s">
        <v>11</v>
      </c>
      <c r="D53" s="22" t="s">
        <v>121</v>
      </c>
      <c r="E53" s="6"/>
      <c r="F53" s="6"/>
      <c r="G53" s="6"/>
      <c r="H53" s="6"/>
      <c r="I53" s="6"/>
      <c r="J53" s="6"/>
      <c r="K53" s="6"/>
      <c r="L53" s="6"/>
      <c r="M53" s="6"/>
      <c r="N53" s="19">
        <v>43709</v>
      </c>
      <c r="O53" s="19">
        <v>43709</v>
      </c>
      <c r="P53" s="12">
        <v>44105</v>
      </c>
      <c r="Q53" s="13">
        <f t="shared" si="1"/>
        <v>13.2</v>
      </c>
      <c r="R53" s="8" t="s">
        <v>116</v>
      </c>
      <c r="S53" s="8" t="s">
        <v>116</v>
      </c>
      <c r="T53" s="8" t="s">
        <v>116</v>
      </c>
      <c r="U53" s="8" t="s">
        <v>116</v>
      </c>
      <c r="V53" s="8" t="s">
        <v>116</v>
      </c>
      <c r="W53" s="8" t="s">
        <v>113</v>
      </c>
      <c r="X53" s="9" t="s">
        <v>116</v>
      </c>
      <c r="Y53" s="9" t="s">
        <v>116</v>
      </c>
      <c r="Z53" s="9" t="s">
        <v>116</v>
      </c>
      <c r="AA53" s="9" t="s">
        <v>116</v>
      </c>
      <c r="AB53" s="9" t="s">
        <v>116</v>
      </c>
      <c r="AC53" s="9" t="s">
        <v>113</v>
      </c>
      <c r="AD53" s="9" t="s">
        <v>116</v>
      </c>
      <c r="AE53" s="17" t="s">
        <v>116</v>
      </c>
      <c r="AF53" s="6"/>
    </row>
    <row r="54" spans="1:32" x14ac:dyDescent="0.3">
      <c r="A54" s="6" t="s">
        <v>113</v>
      </c>
      <c r="B54" s="6" t="s">
        <v>124</v>
      </c>
      <c r="C54" s="6" t="s">
        <v>125</v>
      </c>
      <c r="D54" s="22" t="s">
        <v>121</v>
      </c>
      <c r="E54" s="6"/>
      <c r="F54" s="6"/>
      <c r="G54" s="6"/>
      <c r="H54" s="6"/>
      <c r="I54" s="6"/>
      <c r="J54" s="6"/>
      <c r="K54" s="6"/>
      <c r="L54" s="6"/>
      <c r="M54" s="6"/>
      <c r="N54" s="19">
        <v>44013</v>
      </c>
      <c r="O54" s="19">
        <v>44013</v>
      </c>
      <c r="P54" s="12">
        <v>44105</v>
      </c>
      <c r="Q54" s="13">
        <f t="shared" si="1"/>
        <v>3.0666666666666669</v>
      </c>
      <c r="R54" s="8" t="s">
        <v>116</v>
      </c>
      <c r="S54" s="8" t="s">
        <v>116</v>
      </c>
      <c r="T54" s="8" t="s">
        <v>116</v>
      </c>
      <c r="U54" s="8" t="s">
        <v>116</v>
      </c>
      <c r="V54" s="8" t="s">
        <v>116</v>
      </c>
      <c r="W54" s="8" t="s">
        <v>113</v>
      </c>
      <c r="X54" s="9" t="s">
        <v>116</v>
      </c>
      <c r="Y54" s="9" t="s">
        <v>116</v>
      </c>
      <c r="Z54" s="9" t="s">
        <v>116</v>
      </c>
      <c r="AA54" s="9" t="s">
        <v>116</v>
      </c>
      <c r="AB54" s="9" t="s">
        <v>116</v>
      </c>
      <c r="AC54" s="9" t="s">
        <v>116</v>
      </c>
      <c r="AD54" s="9" t="s">
        <v>116</v>
      </c>
      <c r="AE54" s="17" t="s">
        <v>116</v>
      </c>
      <c r="AF54" s="6"/>
    </row>
    <row r="55" spans="1:32" x14ac:dyDescent="0.3">
      <c r="A55" s="6" t="s">
        <v>113</v>
      </c>
      <c r="B55" s="6" t="s">
        <v>129</v>
      </c>
      <c r="C55" s="6" t="s">
        <v>60</v>
      </c>
      <c r="D55" s="22" t="s">
        <v>121</v>
      </c>
      <c r="E55" s="6"/>
      <c r="F55" s="6"/>
      <c r="G55" s="6"/>
      <c r="H55" s="6"/>
      <c r="I55" s="6"/>
      <c r="J55" s="6"/>
      <c r="K55" s="6"/>
      <c r="L55" s="6"/>
      <c r="M55" s="6"/>
      <c r="N55" s="11"/>
      <c r="O55" s="11"/>
      <c r="P55" s="12">
        <v>44105</v>
      </c>
      <c r="Q55" s="13"/>
      <c r="R55" s="24" t="s">
        <v>116</v>
      </c>
      <c r="S55" s="24" t="s">
        <v>116</v>
      </c>
      <c r="T55" s="24" t="s">
        <v>116</v>
      </c>
      <c r="U55" s="24" t="s">
        <v>116</v>
      </c>
      <c r="V55" s="25" t="s">
        <v>116</v>
      </c>
      <c r="W55" s="26" t="s">
        <v>116</v>
      </c>
      <c r="X55" s="27" t="s">
        <v>116</v>
      </c>
      <c r="Y55" s="27" t="s">
        <v>116</v>
      </c>
      <c r="Z55" s="27" t="s">
        <v>116</v>
      </c>
      <c r="AA55" s="27" t="s">
        <v>116</v>
      </c>
      <c r="AB55" s="27" t="s">
        <v>116</v>
      </c>
      <c r="AC55" s="27" t="s">
        <v>116</v>
      </c>
      <c r="AD55" s="25" t="s">
        <v>116</v>
      </c>
      <c r="AE55" s="25" t="s">
        <v>116</v>
      </c>
      <c r="AF55" s="6"/>
    </row>
    <row r="56" spans="1:32" x14ac:dyDescent="0.3">
      <c r="A56" s="6" t="s">
        <v>113</v>
      </c>
      <c r="B56" s="6" t="s">
        <v>131</v>
      </c>
      <c r="C56" s="6" t="s">
        <v>54</v>
      </c>
      <c r="D56" s="22" t="s">
        <v>121</v>
      </c>
      <c r="E56" s="6"/>
      <c r="F56" s="6"/>
      <c r="G56" s="6"/>
      <c r="H56" s="6"/>
      <c r="I56" s="6"/>
      <c r="J56" s="6"/>
      <c r="K56" s="6"/>
      <c r="L56" s="6"/>
      <c r="M56" s="6"/>
      <c r="N56" s="11"/>
      <c r="O56" s="11"/>
      <c r="P56" s="12">
        <v>44105</v>
      </c>
      <c r="Q56" s="13"/>
      <c r="R56" s="24" t="s">
        <v>116</v>
      </c>
      <c r="S56" s="24" t="s">
        <v>116</v>
      </c>
      <c r="T56" s="24" t="s">
        <v>116</v>
      </c>
      <c r="U56" s="24" t="s">
        <v>116</v>
      </c>
      <c r="V56" s="28" t="s">
        <v>116</v>
      </c>
      <c r="W56" s="22">
        <v>43891</v>
      </c>
      <c r="X56" s="27" t="s">
        <v>116</v>
      </c>
      <c r="Y56" s="27" t="s">
        <v>116</v>
      </c>
      <c r="Z56" s="27" t="s">
        <v>116</v>
      </c>
      <c r="AA56" s="25" t="s">
        <v>116</v>
      </c>
      <c r="AB56" s="25" t="s">
        <v>116</v>
      </c>
      <c r="AC56" s="27" t="s">
        <v>116</v>
      </c>
      <c r="AD56" s="25" t="s">
        <v>116</v>
      </c>
      <c r="AE56" s="25" t="s">
        <v>116</v>
      </c>
      <c r="AF56" s="6"/>
    </row>
    <row r="57" spans="1:32" x14ac:dyDescent="0.3">
      <c r="A57" s="6" t="s">
        <v>113</v>
      </c>
      <c r="B57" s="6" t="s">
        <v>136</v>
      </c>
      <c r="C57" s="6" t="s">
        <v>121</v>
      </c>
      <c r="D57" s="22" t="s">
        <v>121</v>
      </c>
      <c r="E57" s="6"/>
      <c r="F57" s="6"/>
      <c r="G57" s="6"/>
      <c r="H57" s="6"/>
      <c r="I57" s="6"/>
      <c r="J57" s="6"/>
      <c r="K57" s="6"/>
      <c r="L57" s="6"/>
      <c r="M57" s="6"/>
      <c r="N57" s="11"/>
      <c r="O57" s="11"/>
      <c r="P57" s="6"/>
      <c r="Q57" s="6"/>
      <c r="R57" s="6"/>
      <c r="S57" s="6"/>
      <c r="T57" s="6"/>
      <c r="U57" s="6"/>
      <c r="V57" s="6"/>
      <c r="W57" s="6"/>
      <c r="X57" s="6"/>
      <c r="Y57" s="6"/>
      <c r="Z57" s="6"/>
      <c r="AA57" s="6"/>
      <c r="AB57" s="6"/>
      <c r="AC57" s="6"/>
      <c r="AD57" s="6"/>
      <c r="AE57" s="6"/>
      <c r="AF57" s="6"/>
    </row>
    <row r="58" spans="1:32" x14ac:dyDescent="0.3">
      <c r="A58" s="6" t="s">
        <v>113</v>
      </c>
      <c r="B58" s="6" t="s">
        <v>150</v>
      </c>
      <c r="C58" s="6" t="s">
        <v>54</v>
      </c>
      <c r="D58" s="22" t="s">
        <v>121</v>
      </c>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spans="1:32" x14ac:dyDescent="0.3">
      <c r="A59" s="6" t="s">
        <v>113</v>
      </c>
      <c r="B59" s="6" t="s">
        <v>151</v>
      </c>
      <c r="C59" s="6" t="s">
        <v>29</v>
      </c>
      <c r="D59" s="22" t="s">
        <v>121</v>
      </c>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spans="1:32" x14ac:dyDescent="0.3">
      <c r="A60" s="6" t="s">
        <v>113</v>
      </c>
      <c r="B60" s="6" t="s">
        <v>152</v>
      </c>
      <c r="C60" s="6" t="s">
        <v>85</v>
      </c>
      <c r="D60" s="22" t="s">
        <v>121</v>
      </c>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spans="1:32" x14ac:dyDescent="0.3">
      <c r="A61" s="6" t="s">
        <v>113</v>
      </c>
      <c r="B61" s="6" t="s">
        <v>153</v>
      </c>
      <c r="C61" s="6" t="s">
        <v>74</v>
      </c>
      <c r="D61" s="22" t="s">
        <v>121</v>
      </c>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spans="1:32" x14ac:dyDescent="0.3">
      <c r="A62" s="6"/>
      <c r="B62" s="1"/>
      <c r="C62" s="6"/>
      <c r="D62" s="22"/>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spans="1:32" x14ac:dyDescent="0.3">
      <c r="B63"/>
    </row>
    <row r="64" spans="1:3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sheetData>
  <sortState ref="B2:O60">
    <sortCondition ref="C2:C60"/>
  </sortState>
  <dataValidations count="1">
    <dataValidation type="list" allowBlank="1" showInputMessage="1" showErrorMessage="1" sqref="H2:H62">
      <formula1>Geplanter_Projekteinsatz_durch_Manager</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zoomScaleNormal="100" workbookViewId="0">
      <selection sqref="A1:A43"/>
    </sheetView>
  </sheetViews>
  <sheetFormatPr baseColWidth="10" defaultColWidth="8.88671875" defaultRowHeight="14.4" x14ac:dyDescent="0.3"/>
  <cols>
    <col min="1" max="1" width="69.21875" customWidth="1"/>
  </cols>
  <sheetData>
    <row r="1" spans="1:1" x14ac:dyDescent="0.3">
      <c r="A1" t="s">
        <v>168</v>
      </c>
    </row>
    <row r="2" spans="1:1" x14ac:dyDescent="0.3">
      <c r="A2" t="s">
        <v>188</v>
      </c>
    </row>
    <row r="3" spans="1:1" x14ac:dyDescent="0.3">
      <c r="A3" t="s">
        <v>179</v>
      </c>
    </row>
    <row r="4" spans="1:1" x14ac:dyDescent="0.3">
      <c r="A4" t="s">
        <v>189</v>
      </c>
    </row>
    <row r="5" spans="1:1" x14ac:dyDescent="0.3">
      <c r="A5" t="s">
        <v>164</v>
      </c>
    </row>
    <row r="6" spans="1:1" x14ac:dyDescent="0.3">
      <c r="A6" t="s">
        <v>200</v>
      </c>
    </row>
    <row r="7" spans="1:1" x14ac:dyDescent="0.3">
      <c r="A7" t="s">
        <v>169</v>
      </c>
    </row>
    <row r="8" spans="1:1" x14ac:dyDescent="0.3">
      <c r="A8" t="s">
        <v>172</v>
      </c>
    </row>
    <row r="9" spans="1:1" x14ac:dyDescent="0.3">
      <c r="A9" t="s">
        <v>170</v>
      </c>
    </row>
    <row r="10" spans="1:1" x14ac:dyDescent="0.3">
      <c r="A10" t="s">
        <v>165</v>
      </c>
    </row>
    <row r="11" spans="1:1" x14ac:dyDescent="0.3">
      <c r="A11" t="s">
        <v>173</v>
      </c>
    </row>
    <row r="12" spans="1:1" x14ac:dyDescent="0.3">
      <c r="A12" t="s">
        <v>185</v>
      </c>
    </row>
    <row r="13" spans="1:1" x14ac:dyDescent="0.3">
      <c r="A13" t="s">
        <v>174</v>
      </c>
    </row>
    <row r="14" spans="1:1" x14ac:dyDescent="0.3">
      <c r="A14" t="s">
        <v>180</v>
      </c>
    </row>
    <row r="15" spans="1:1" x14ac:dyDescent="0.3">
      <c r="A15" t="s">
        <v>166</v>
      </c>
    </row>
    <row r="16" spans="1:1" x14ac:dyDescent="0.3">
      <c r="A16" t="s">
        <v>167</v>
      </c>
    </row>
    <row r="17" spans="1:1" x14ac:dyDescent="0.3">
      <c r="A17" t="s">
        <v>183</v>
      </c>
    </row>
    <row r="18" spans="1:1" x14ac:dyDescent="0.3">
      <c r="A18" t="s">
        <v>190</v>
      </c>
    </row>
    <row r="19" spans="1:1" x14ac:dyDescent="0.3">
      <c r="A19" t="s">
        <v>178</v>
      </c>
    </row>
    <row r="20" spans="1:1" x14ac:dyDescent="0.3">
      <c r="A20" t="s">
        <v>159</v>
      </c>
    </row>
    <row r="21" spans="1:1" x14ac:dyDescent="0.3">
      <c r="A21" t="s">
        <v>184</v>
      </c>
    </row>
    <row r="22" spans="1:1" x14ac:dyDescent="0.3">
      <c r="A22" t="s">
        <v>163</v>
      </c>
    </row>
    <row r="23" spans="1:1" x14ac:dyDescent="0.3">
      <c r="A23" t="s">
        <v>191</v>
      </c>
    </row>
    <row r="24" spans="1:1" x14ac:dyDescent="0.3">
      <c r="A24" t="s">
        <v>186</v>
      </c>
    </row>
    <row r="25" spans="1:1" x14ac:dyDescent="0.3">
      <c r="A25" t="s">
        <v>187</v>
      </c>
    </row>
    <row r="26" spans="1:1" x14ac:dyDescent="0.3">
      <c r="A26" t="s">
        <v>192</v>
      </c>
    </row>
    <row r="27" spans="1:1" x14ac:dyDescent="0.3">
      <c r="A27" t="s">
        <v>139</v>
      </c>
    </row>
    <row r="28" spans="1:1" x14ac:dyDescent="0.3">
      <c r="A28" t="s">
        <v>193</v>
      </c>
    </row>
    <row r="29" spans="1:1" x14ac:dyDescent="0.3">
      <c r="A29" t="s">
        <v>194</v>
      </c>
    </row>
    <row r="30" spans="1:1" x14ac:dyDescent="0.3">
      <c r="A30" t="s">
        <v>175</v>
      </c>
    </row>
    <row r="31" spans="1:1" x14ac:dyDescent="0.3">
      <c r="A31" t="s">
        <v>171</v>
      </c>
    </row>
    <row r="32" spans="1:1" x14ac:dyDescent="0.3">
      <c r="A32" t="s">
        <v>160</v>
      </c>
    </row>
    <row r="33" spans="1:1" x14ac:dyDescent="0.3">
      <c r="A33" t="s">
        <v>181</v>
      </c>
    </row>
    <row r="34" spans="1:1" x14ac:dyDescent="0.3">
      <c r="A34" t="s">
        <v>195</v>
      </c>
    </row>
    <row r="35" spans="1:1" x14ac:dyDescent="0.3">
      <c r="A35" t="s">
        <v>182</v>
      </c>
    </row>
    <row r="36" spans="1:1" x14ac:dyDescent="0.3">
      <c r="A36" t="s">
        <v>196</v>
      </c>
    </row>
    <row r="37" spans="1:1" x14ac:dyDescent="0.3">
      <c r="A37" t="s">
        <v>161</v>
      </c>
    </row>
    <row r="38" spans="1:1" x14ac:dyDescent="0.3">
      <c r="A38" t="s">
        <v>162</v>
      </c>
    </row>
    <row r="39" spans="1:1" x14ac:dyDescent="0.3">
      <c r="A39" t="s">
        <v>176</v>
      </c>
    </row>
    <row r="40" spans="1:1" x14ac:dyDescent="0.3">
      <c r="A40" t="s">
        <v>197</v>
      </c>
    </row>
    <row r="41" spans="1:1" x14ac:dyDescent="0.3">
      <c r="A41" t="s">
        <v>177</v>
      </c>
    </row>
    <row r="42" spans="1:1" x14ac:dyDescent="0.3">
      <c r="A42" t="s">
        <v>198</v>
      </c>
    </row>
    <row r="43" spans="1:1" x14ac:dyDescent="0.3">
      <c r="A43" t="s">
        <v>199</v>
      </c>
    </row>
  </sheetData>
  <sortState ref="A1:A45">
    <sortCondition ref="A4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2e28d1-73d6-4048-91d2-37d955da1f89">
      <Terms xmlns="http://schemas.microsoft.com/office/infopath/2007/PartnerControls"/>
    </lcf76f155ced4ddcb4097134ff3c332f>
    <TaxCatchAll xmlns="312811ba-82ae-431f-9dc3-799b288b676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C0A0AE3165D748A61C314B39FD3666" ma:contentTypeVersion="12" ma:contentTypeDescription="Create a new document." ma:contentTypeScope="" ma:versionID="9afcc9957763666e1de269c8e87140c2">
  <xsd:schema xmlns:xsd="http://www.w3.org/2001/XMLSchema" xmlns:xs="http://www.w3.org/2001/XMLSchema" xmlns:p="http://schemas.microsoft.com/office/2006/metadata/properties" xmlns:ns2="6c2e28d1-73d6-4048-91d2-37d955da1f89" xmlns:ns3="312811ba-82ae-431f-9dc3-799b288b6767" targetNamespace="http://schemas.microsoft.com/office/2006/metadata/properties" ma:root="true" ma:fieldsID="5125844db204b09a0bb0150055d9f278" ns2:_="" ns3:_="">
    <xsd:import namespace="6c2e28d1-73d6-4048-91d2-37d955da1f89"/>
    <xsd:import namespace="312811ba-82ae-431f-9dc3-799b288b676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2e28d1-73d6-4048-91d2-37d955da1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2811ba-82ae-431f-9dc3-799b288b676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763ddd4-b658-4282-8703-e19554543e14}" ma:internalName="TaxCatchAll" ma:showField="CatchAllData" ma:web="312811ba-82ae-431f-9dc3-799b288b676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FC7FD0-C65B-4455-96C4-B0F3E116B681}">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4bb5ee25-6753-4c9a-a467-d44c8663bae8"/>
    <ds:schemaRef ds:uri="http://purl.org/dc/elements/1.1/"/>
    <ds:schemaRef ds:uri="d67ebeb8-2969-428d-95cf-221ca75fc816"/>
    <ds:schemaRef ds:uri="http://www.w3.org/XML/1998/namespace"/>
    <ds:schemaRef ds:uri="http://purl.org/dc/dcmitype/"/>
  </ds:schemaRefs>
</ds:datastoreItem>
</file>

<file path=customXml/itemProps2.xml><?xml version="1.0" encoding="utf-8"?>
<ds:datastoreItem xmlns:ds="http://schemas.openxmlformats.org/officeDocument/2006/customXml" ds:itemID="{8019DD46-3B51-4FCC-83A2-0F2D3E15B8EA}">
  <ds:schemaRefs>
    <ds:schemaRef ds:uri="http://schemas.microsoft.com/sharepoint/v3/contenttype/forms"/>
  </ds:schemaRefs>
</ds:datastoreItem>
</file>

<file path=customXml/itemProps3.xml><?xml version="1.0" encoding="utf-8"?>
<ds:datastoreItem xmlns:ds="http://schemas.openxmlformats.org/officeDocument/2006/customXml" ds:itemID="{77A4315B-85F6-43F6-B603-56CE6A737A0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Start 1.10.</vt:lpstr>
      <vt:lpstr>Sheet1</vt:lpstr>
      <vt:lpstr>Sheet1!Geplanter_Projekteinsatz_durch_Manager</vt:lpstr>
      <vt:lpstr>Geplanter_Projekteinsatz_durch_Manager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Kist, Viktoria</dc:creator>
  <cp:keywords/>
  <dc:description/>
  <cp:lastModifiedBy>Jens Heeling</cp:lastModifiedBy>
  <cp:revision/>
  <dcterms:created xsi:type="dcterms:W3CDTF">2020-07-20T09:01:40Z</dcterms:created>
  <dcterms:modified xsi:type="dcterms:W3CDTF">2020-08-17T12:48:22Z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0x010100B3C0A0AE3165D748A61C314B39FD3666</vt:lpwstr>
  </property>
  <property fmtid="{D5CDD505-2E9C-101B-9397-08002B2CF9AE}" pid="4" name="MediaServiceImageTags">
    <vt:lpwstr/>
  </property>
</Properties>
</file>